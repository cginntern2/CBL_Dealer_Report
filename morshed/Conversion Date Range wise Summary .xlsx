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Conversion Date Range wise Summ" sheetId="1" r:id="rId1"/>
  </sheets>
  <definedNames>
    <definedName name="_xlnm._FilterDatabase" localSheetId="0" hidden="1">'Conversion Date Range wise Summ'!$AJ$22:$AJ$26</definedName>
  </definedNames>
  <calcPr calcId="144525"/>
</workbook>
</file>

<file path=xl/sharedStrings.xml><?xml version="1.0" encoding="utf-8"?>
<sst xmlns="http://schemas.openxmlformats.org/spreadsheetml/2006/main" count="602" uniqueCount="302">
  <si>
    <t># CONFIDENCE BATTERIES LIMITED #</t>
  </si>
  <si>
    <t>Sales System</t>
  </si>
  <si>
    <t>1 All Conversion Dealer</t>
  </si>
  <si>
    <t>Kgs upor 59%</t>
  </si>
  <si>
    <t>Monem Business District (MDB) East Tower 8th &amp; 9th Floor,  111 Bir Uttam C.R Datta Road, Dhaka-1205</t>
  </si>
  <si>
    <t>2. Actual Sales QTY &amp; Sales Value (Net)</t>
  </si>
  <si>
    <t>Conversion Date Range wise Summary Report</t>
  </si>
  <si>
    <t>3 Opening Lead Balance (Colum Add)</t>
  </si>
  <si>
    <t>From Date:01-JAN-26</t>
  </si>
  <si>
    <t>To Date:26-JAN-26</t>
  </si>
  <si>
    <t>4. Application Unit wise Lead Req Value Change</t>
  </si>
  <si>
    <t>Tobe Detarmaind   With Kg (60%)</t>
  </si>
  <si>
    <t>Tobe Detarmaind   With Kg (59%)</t>
  </si>
  <si>
    <t>5. Hard Lead Recv (Factory End Rcv) Colum Add</t>
  </si>
  <si>
    <t>6. Rickshaw Con. Hard Lead Recv.  Tobe Detarmaind   With Kg (60%)</t>
  </si>
  <si>
    <t>7.Common Con. Hard Lead Recv. Tobe Detarmaind   With Kg (59%)</t>
  </si>
  <si>
    <t>8. Total Hard Lead Rcv Calculate with All The Hard Lead RCV</t>
  </si>
  <si>
    <t>9 Closing Hard Lead Balance Formula : Opeing Lead Balance + Total Lead Req- Total Lead Rcv</t>
  </si>
  <si>
    <t>Colum Name Change : Closing Hard Lead Balance</t>
  </si>
  <si>
    <t>SL NO</t>
  </si>
  <si>
    <t>National</t>
  </si>
  <si>
    <t>Division</t>
  </si>
  <si>
    <t>Territory</t>
  </si>
  <si>
    <t>Dealer Code</t>
  </si>
  <si>
    <t>Dealer Name</t>
  </si>
  <si>
    <t>Opening Balance</t>
  </si>
  <si>
    <t>ET Qty.</t>
  </si>
  <si>
    <t>Rickshaw Qty.</t>
  </si>
  <si>
    <t>Solar Qty</t>
  </si>
  <si>
    <t>Total Qty.</t>
  </si>
  <si>
    <t>Total Value</t>
  </si>
  <si>
    <t>Cash Collection</t>
  </si>
  <si>
    <t>Closing Balance</t>
  </si>
  <si>
    <t>Opening Lead Balance</t>
  </si>
  <si>
    <t>ET Conversion Recv. Qty.</t>
  </si>
  <si>
    <t>ET Conversion Recv. Kg.</t>
  </si>
  <si>
    <t>Rickshaw Conversion Recv. Qty.</t>
  </si>
  <si>
    <t>Rickshaw Conversion Recv. Kg.</t>
  </si>
  <si>
    <t>Common Conversion Recv. Qty.</t>
  </si>
  <si>
    <t>Common Conversion Recv. Kg.</t>
  </si>
  <si>
    <t>Total Conversion Recv. Qty.</t>
  </si>
  <si>
    <t>Total Conversion Recv. Kg.</t>
  </si>
  <si>
    <t>ET Lead Req.</t>
  </si>
  <si>
    <t>Rickshaw Lead Req.</t>
  </si>
  <si>
    <t>Solar Lead Req.</t>
  </si>
  <si>
    <t>Total Lead Req.</t>
  </si>
  <si>
    <t>ET Con. Hard Lead Recv.</t>
  </si>
  <si>
    <t>Rickshaw Con. Hard Lead Recv.</t>
  </si>
  <si>
    <t>Common Con. Hard Lead Recv.</t>
  </si>
  <si>
    <t>Hard Lead Recv (Factory End)</t>
  </si>
  <si>
    <t>Total Con. Hard Lead Recv.</t>
  </si>
  <si>
    <r>
      <t>Closing</t>
    </r>
    <r>
      <rPr>
        <sz val="11"/>
        <color rgb="FFFF0000"/>
        <rFont val="Calibri"/>
        <charset val="134"/>
        <scheme val="minor"/>
      </rPr>
      <t xml:space="preserve"> </t>
    </r>
    <r>
      <rPr>
        <sz val="11"/>
        <color theme="1"/>
        <rFont val="Calibri"/>
        <charset val="134"/>
        <scheme val="minor"/>
      </rPr>
      <t>Hard Lead Balance</t>
    </r>
  </si>
  <si>
    <t>National-1</t>
  </si>
  <si>
    <t>Tangail Zone</t>
  </si>
  <si>
    <t>Tangail Territory</t>
  </si>
  <si>
    <t>01282</t>
  </si>
  <si>
    <t>M/S Khan Battery Recycling (C)</t>
  </si>
  <si>
    <t>01286</t>
  </si>
  <si>
    <t>M/S Ma Motors - Birolia (C)</t>
  </si>
  <si>
    <t>Gazipur Territory</t>
  </si>
  <si>
    <t>01287</t>
  </si>
  <si>
    <t>M/S Sowa Motors &amp; Battery Shop (C)</t>
  </si>
  <si>
    <t>01288</t>
  </si>
  <si>
    <t>M/S S.B. Energy (C)</t>
  </si>
  <si>
    <t>01289</t>
  </si>
  <si>
    <t>M/S Hasan Enterprise (C)</t>
  </si>
  <si>
    <t>01290</t>
  </si>
  <si>
    <t>M/S Arafat Enterprise (C)</t>
  </si>
  <si>
    <t>Mymensingh Zone</t>
  </si>
  <si>
    <t>Mymenshing Territory</t>
  </si>
  <si>
    <t>01292</t>
  </si>
  <si>
    <t>M/S Babul Enterprise (C)</t>
  </si>
  <si>
    <t>01294</t>
  </si>
  <si>
    <t>M/S Bismillah Auto - Netrokona (C)</t>
  </si>
  <si>
    <t>Cumilla Zone</t>
  </si>
  <si>
    <t>Noakhali Territory</t>
  </si>
  <si>
    <t>01298</t>
  </si>
  <si>
    <t>M/S Farhan Auto (C)</t>
  </si>
  <si>
    <t>01299</t>
  </si>
  <si>
    <t>M/S L D Poribahan &amp; Trading (C)</t>
  </si>
  <si>
    <t>01300</t>
  </si>
  <si>
    <t>M/S Supreme Auto (C)</t>
  </si>
  <si>
    <t>Cumilla Territory</t>
  </si>
  <si>
    <t>01305</t>
  </si>
  <si>
    <t>M/S A.P.L. Auto House (C)</t>
  </si>
  <si>
    <t>01306</t>
  </si>
  <si>
    <t>M/S Khokon IPS &amp; Battery Center (C)</t>
  </si>
  <si>
    <t>Sylhet Zone</t>
  </si>
  <si>
    <t>Hobigonj Territory</t>
  </si>
  <si>
    <t>01308</t>
  </si>
  <si>
    <t>M/S Doyal Battery (C)</t>
  </si>
  <si>
    <t>Chattogram Zone</t>
  </si>
  <si>
    <t>Chattogram Territory</t>
  </si>
  <si>
    <t>01312</t>
  </si>
  <si>
    <t>M/S Banskhali Enterprise-Joldi (C)</t>
  </si>
  <si>
    <t>Cox's Bazar Territory</t>
  </si>
  <si>
    <t>01313</t>
  </si>
  <si>
    <t>M/S Saiful Motors (C)</t>
  </si>
  <si>
    <t>National-2</t>
  </si>
  <si>
    <t>Bagura Zone</t>
  </si>
  <si>
    <t>Bagura Territory</t>
  </si>
  <si>
    <t>01314</t>
  </si>
  <si>
    <t>M/S Anamika Auto Rickshow (C)</t>
  </si>
  <si>
    <t>Rajshahi Territory</t>
  </si>
  <si>
    <t>01315</t>
  </si>
  <si>
    <t>M/S Battery House - Pabna (C)</t>
  </si>
  <si>
    <t>Barishal Zone</t>
  </si>
  <si>
    <t>Bhola Territory</t>
  </si>
  <si>
    <t>01320</t>
  </si>
  <si>
    <t>M/S Shopon Battery House (C)</t>
  </si>
  <si>
    <t>01323</t>
  </si>
  <si>
    <t>M/S Lutfor Auto Battery House (C)</t>
  </si>
  <si>
    <t>Barishal Territory</t>
  </si>
  <si>
    <t>01324</t>
  </si>
  <si>
    <t>M/S Manir Battery Charging Station (C)</t>
  </si>
  <si>
    <t>01325</t>
  </si>
  <si>
    <t>M/S Sardar Auto House (C)</t>
  </si>
  <si>
    <t>01326</t>
  </si>
  <si>
    <t>M/S S.K. Enterprise (C)</t>
  </si>
  <si>
    <t>01328</t>
  </si>
  <si>
    <t>M/S Ananna Battery &amp; Tyre (C)</t>
  </si>
  <si>
    <t>01331</t>
  </si>
  <si>
    <t>M/S S.S. Enterprise-Norshingdi (C)</t>
  </si>
  <si>
    <t>01332</t>
  </si>
  <si>
    <t>M/S Salman Battery House (C)</t>
  </si>
  <si>
    <t>01335</t>
  </si>
  <si>
    <t>M/S Shoshi Enterprise (C)</t>
  </si>
  <si>
    <t>Khulna Zone</t>
  </si>
  <si>
    <t>Khulna Territory</t>
  </si>
  <si>
    <t>01345</t>
  </si>
  <si>
    <t>M/S Lamia Battery (C)</t>
  </si>
  <si>
    <t>01346</t>
  </si>
  <si>
    <t>M/S Shah Mojidia Motor Parts (C)</t>
  </si>
  <si>
    <t>01353</t>
  </si>
  <si>
    <t>M/S Sajib Enterprise (C)</t>
  </si>
  <si>
    <t>01354</t>
  </si>
  <si>
    <t>M/S AL Amin Parts Store (C)</t>
  </si>
  <si>
    <t>Sylhet Territory</t>
  </si>
  <si>
    <t>01423</t>
  </si>
  <si>
    <t>M/S Minara Traders (C)</t>
  </si>
  <si>
    <t>01428</t>
  </si>
  <si>
    <t>M/S Molla Battery House (C)</t>
  </si>
  <si>
    <t>01438</t>
  </si>
  <si>
    <t>M/S Shepon Motors (C)</t>
  </si>
  <si>
    <t>01439</t>
  </si>
  <si>
    <t>M/S Islam Parts Store (C)</t>
  </si>
  <si>
    <t>01444</t>
  </si>
  <si>
    <t>M/S Anik Motors &amp; Battery (C)</t>
  </si>
  <si>
    <t>01451</t>
  </si>
  <si>
    <t>M/S Prarthona Motors (C)</t>
  </si>
  <si>
    <t>01454</t>
  </si>
  <si>
    <t>M/S Adib Alifa Auto &amp; Battery House (C)</t>
  </si>
  <si>
    <t>01455</t>
  </si>
  <si>
    <t>M/S Souro Power Electric (C)</t>
  </si>
  <si>
    <t>01457</t>
  </si>
  <si>
    <t>M/S Tanha Battery House (C)</t>
  </si>
  <si>
    <t>Jashore Zone</t>
  </si>
  <si>
    <t>Jashore Territory</t>
  </si>
  <si>
    <t>01460</t>
  </si>
  <si>
    <t>M/S New Khan Traders (C)</t>
  </si>
  <si>
    <t>01468</t>
  </si>
  <si>
    <t>M/S Bogura Auto Center (C)</t>
  </si>
  <si>
    <t>01471</t>
  </si>
  <si>
    <t>M/S Talukder Motors (C)</t>
  </si>
  <si>
    <t>01478</t>
  </si>
  <si>
    <t>M/S Hemayetpur Battery House (C)</t>
  </si>
  <si>
    <t>01481</t>
  </si>
  <si>
    <t>M/S Mokka Motors-Cumilla (C)</t>
  </si>
  <si>
    <t>01484</t>
  </si>
  <si>
    <t>M/S Sadiq Enterprise (C)</t>
  </si>
  <si>
    <t>01491</t>
  </si>
  <si>
    <t>M/S Sharif Battery House &amp; IPS Center (C)</t>
  </si>
  <si>
    <t>01494</t>
  </si>
  <si>
    <t>M/S Sirajgonj Auto Corner (C)</t>
  </si>
  <si>
    <t>01496</t>
  </si>
  <si>
    <t>M/S Bhai Bhai Battery And Motors (C)</t>
  </si>
  <si>
    <t>01497</t>
  </si>
  <si>
    <t>M/S Maa Auto Workshop &amp; Battery Center (C)</t>
  </si>
  <si>
    <t>01498</t>
  </si>
  <si>
    <t>M/S Sadia Auto Parts (C)</t>
  </si>
  <si>
    <t>Rangpur Zone</t>
  </si>
  <si>
    <t>Rangpur Territory</t>
  </si>
  <si>
    <t>01502</t>
  </si>
  <si>
    <t>M/S Sarkar Motors and Battery (C)</t>
  </si>
  <si>
    <t>Dinajpur Territory</t>
  </si>
  <si>
    <t>01505</t>
  </si>
  <si>
    <t>M/S Battery And IPS Bazar (C)</t>
  </si>
  <si>
    <t>01507</t>
  </si>
  <si>
    <t>M/S Al-Amin Cycle &amp; Auto Parts (C)</t>
  </si>
  <si>
    <t>01509</t>
  </si>
  <si>
    <t>M/S Mollah Enterprise - Gopalgonj (C)</t>
  </si>
  <si>
    <t>01511</t>
  </si>
  <si>
    <t>M/S New China Auto Traders (C)</t>
  </si>
  <si>
    <t>01515</t>
  </si>
  <si>
    <t>M/S Afifa Traders (C)</t>
  </si>
  <si>
    <t>Narayangonj Territory</t>
  </si>
  <si>
    <t>01517</t>
  </si>
  <si>
    <t>M/S Satata Battery House (C)</t>
  </si>
  <si>
    <t>01519</t>
  </si>
  <si>
    <t>M/S Modina Cycle Store (C)</t>
  </si>
  <si>
    <t>01520</t>
  </si>
  <si>
    <t>M/S M.R. Enterprise- Dinajpur (C)</t>
  </si>
  <si>
    <t>01522</t>
  </si>
  <si>
    <t>M/S Samar Auto (C)</t>
  </si>
  <si>
    <t>01523</t>
  </si>
  <si>
    <t>M/S S.K. Trading Corporation (C)</t>
  </si>
  <si>
    <t>01525</t>
  </si>
  <si>
    <t>M/S AL - Modina Traders (C)</t>
  </si>
  <si>
    <t>01527</t>
  </si>
  <si>
    <t>M/S Takia Battery House (C)</t>
  </si>
  <si>
    <t>01530</t>
  </si>
  <si>
    <t>M/S S. K. Battery House (C)</t>
  </si>
  <si>
    <t>01531</t>
  </si>
  <si>
    <t>M/S Rifat Enterprise (C)</t>
  </si>
  <si>
    <t>01533</t>
  </si>
  <si>
    <t>M/S S.M. Imran Battery House (C)</t>
  </si>
  <si>
    <t>01534</t>
  </si>
  <si>
    <t>M/S Jony Motors - Faridpur (C)</t>
  </si>
  <si>
    <t>01535</t>
  </si>
  <si>
    <t>M/S Salman Auto and Battery (C)</t>
  </si>
  <si>
    <t>01536</t>
  </si>
  <si>
    <t>M/S Jhenaidah Bike Center  (C)</t>
  </si>
  <si>
    <t>01537</t>
  </si>
  <si>
    <t>M/S North Bengal Trading (C)</t>
  </si>
  <si>
    <t>01538</t>
  </si>
  <si>
    <t>M/S Al Razzak Battery House (C)</t>
  </si>
  <si>
    <t>01539</t>
  </si>
  <si>
    <t>M/S Chapai Auto Battery House (C)</t>
  </si>
  <si>
    <t>01540</t>
  </si>
  <si>
    <t>M/S Shamim Battery &amp; Tyre House (C)</t>
  </si>
  <si>
    <t>01544</t>
  </si>
  <si>
    <t>M/S Zaman Battery House (C)</t>
  </si>
  <si>
    <t>01545</t>
  </si>
  <si>
    <t>M/S Sompa Cycle Store (C)</t>
  </si>
  <si>
    <t>01547</t>
  </si>
  <si>
    <t>M/S Mahbub Motors-Patuakhali (C)</t>
  </si>
  <si>
    <t>01548</t>
  </si>
  <si>
    <t>M/S Sohraf Store (C)</t>
  </si>
  <si>
    <t>01549</t>
  </si>
  <si>
    <t>M/S Gazipur Battery House (C)</t>
  </si>
  <si>
    <t>01550</t>
  </si>
  <si>
    <t>M/S Boalkhali Battery House (C)</t>
  </si>
  <si>
    <t>01551</t>
  </si>
  <si>
    <t>M/S Anas Enterprise (C)</t>
  </si>
  <si>
    <t>01552</t>
  </si>
  <si>
    <t>M/S New Mintu Motors (C)</t>
  </si>
  <si>
    <t>01553</t>
  </si>
  <si>
    <t>M/S Al - Mokka Enterprise (C)</t>
  </si>
  <si>
    <t>01554</t>
  </si>
  <si>
    <t>M/S New Dhaka Motors and Battery (C)</t>
  </si>
  <si>
    <t>01557</t>
  </si>
  <si>
    <t>M/S Ripon Tyre and Battery (C)</t>
  </si>
  <si>
    <t>01558</t>
  </si>
  <si>
    <t>M/S Jamuna Battery House (C)</t>
  </si>
  <si>
    <t>01562</t>
  </si>
  <si>
    <t>M/S Al - Barakah Battery &amp; Auto Parts (C)</t>
  </si>
  <si>
    <t>01563</t>
  </si>
  <si>
    <t>M/S Bhai Bhai Auto Center (C)</t>
  </si>
  <si>
    <t>01566</t>
  </si>
  <si>
    <t>M/S J. S Battery House (C)</t>
  </si>
  <si>
    <t>01567</t>
  </si>
  <si>
    <t>M/S Housing Auto Bike (C)</t>
  </si>
  <si>
    <t>01568</t>
  </si>
  <si>
    <t>M/S Protibesi Motors (C)</t>
  </si>
  <si>
    <t>01569</t>
  </si>
  <si>
    <t>M/S Selim Battery House (C)</t>
  </si>
  <si>
    <t>01575</t>
  </si>
  <si>
    <t>M/S Takdir Battery &amp; Autos (C)</t>
  </si>
  <si>
    <t>01576</t>
  </si>
  <si>
    <t>M/S Rafiq Vi Battery &amp; Auto (C)</t>
  </si>
  <si>
    <t>01577</t>
  </si>
  <si>
    <t>M/S Bondhu Auto House (C)</t>
  </si>
  <si>
    <t>01583</t>
  </si>
  <si>
    <t>M/S Golden Bike (C)</t>
  </si>
  <si>
    <t>01584</t>
  </si>
  <si>
    <t>M/S Nirapad Motors (C)</t>
  </si>
  <si>
    <t>01585</t>
  </si>
  <si>
    <t>M/S Bondhu Battery Center (C)</t>
  </si>
  <si>
    <t>01586</t>
  </si>
  <si>
    <t>M/S EVE Energy Traders (C)</t>
  </si>
  <si>
    <t>01589</t>
  </si>
  <si>
    <t>M/S Shahadat Auto Repairing Workshop (C)</t>
  </si>
  <si>
    <t>01590</t>
  </si>
  <si>
    <t>M/S Keya Enterprise (C)</t>
  </si>
  <si>
    <t>01592</t>
  </si>
  <si>
    <t>M/S Rashed Traders (C)</t>
  </si>
  <si>
    <t>01593</t>
  </si>
  <si>
    <t>M/S Simanto Battery House (C)</t>
  </si>
  <si>
    <t>01594</t>
  </si>
  <si>
    <t>M/S Sadia Enterprise (C)</t>
  </si>
  <si>
    <t>01596</t>
  </si>
  <si>
    <t>M/S Monir Auto &amp; Battery House (C)</t>
  </si>
  <si>
    <t>01599</t>
  </si>
  <si>
    <t>M/S Mohona Bike Center (C)</t>
  </si>
  <si>
    <t>01600</t>
  </si>
  <si>
    <t>M/S Salman Auto and Battery-2 (C) ET Premium</t>
  </si>
  <si>
    <t>01602</t>
  </si>
  <si>
    <t>M/S Tanjila Enterprise (C)</t>
  </si>
  <si>
    <t>01603</t>
  </si>
  <si>
    <t>M/S AISB Corporation (C)</t>
  </si>
  <si>
    <t>01606</t>
  </si>
  <si>
    <t>M/S Nazrul Battery Ghor &amp; Auto Part  (C)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</si>
</sst>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" fillId="6" borderId="0" xfId="0" applyFont="1" applyFill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3"/>
  <sheetViews>
    <sheetView tabSelected="1" zoomScale="90" zoomScaleNormal="90" zoomScaleSheetLayoutView="60" workbookViewId="0">
      <selection activeCell="O15" sqref="O15:O28"/>
    </sheetView>
  </sheetViews>
  <sheetFormatPr defaultColWidth="10" defaultRowHeight="14.4"/>
  <cols>
    <col min="6" max="6" width="43.7777777777778" customWidth="1"/>
    <col min="8" max="8" width="7.55555555555556" customWidth="1"/>
    <col min="9" max="9" width="13.5555555555556" customWidth="1"/>
    <col min="10" max="10" width="9.11111111111111" customWidth="1"/>
    <col min="13" max="13" width="14.7777777777778" customWidth="1"/>
    <col min="14" max="14" width="14.8888888888889" customWidth="1"/>
    <col min="15" max="15" width="22.6666666666667" customWidth="1"/>
    <col min="16" max="16" width="23.5555555555556" customWidth="1"/>
    <col min="17" max="17" width="22.4444444444444" customWidth="1"/>
    <col min="18" max="18" width="29.7777777777778" customWidth="1"/>
    <col min="19" max="19" width="28.6666666666667" customWidth="1"/>
    <col min="20" max="20" width="29.6666666666667" customWidth="1"/>
    <col min="21" max="21" width="28.5555555555556" customWidth="1"/>
    <col min="22" max="22" width="26" customWidth="1"/>
    <col min="23" max="23" width="24.8888888888889" customWidth="1"/>
    <col min="24" max="24" width="12.4444444444444" customWidth="1"/>
    <col min="25" max="25" width="18.6666666666667" customWidth="1"/>
    <col min="26" max="26" width="14.7777777777778" customWidth="1"/>
    <col min="27" max="27" width="14.8888888888889" customWidth="1"/>
    <col min="28" max="28" width="22.8888888888889" style="1" customWidth="1"/>
    <col min="29" max="29" width="29.1111111111111" style="2" customWidth="1"/>
    <col min="30" max="31" width="29" style="3" customWidth="1"/>
    <col min="32" max="32" width="25.4444444444444" customWidth="1"/>
    <col min="33" max="33" width="27.7777777777778" customWidth="1"/>
    <col min="34" max="34" width="20.6666666666667" style="4" customWidth="1"/>
  </cols>
  <sheetData>
    <row r="1" spans="1:1">
      <c r="A1" t="s">
        <v>0</v>
      </c>
    </row>
    <row r="2" spans="1:21">
      <c r="A2" t="s">
        <v>1</v>
      </c>
      <c r="H2" t="s">
        <v>2</v>
      </c>
      <c r="R2" s="7">
        <v>60</v>
      </c>
      <c r="T2" s="7">
        <v>59</v>
      </c>
      <c r="U2" s="8" t="s">
        <v>3</v>
      </c>
    </row>
    <row r="3" spans="1:18">
      <c r="A3" t="s">
        <v>4</v>
      </c>
      <c r="H3" t="s">
        <v>5</v>
      </c>
      <c r="Q3">
        <f>Q17/P17</f>
        <v>33.601652892562</v>
      </c>
      <c r="R3">
        <f>AC22/R22</f>
        <v>61</v>
      </c>
    </row>
    <row r="4" spans="1:24">
      <c r="A4" t="s">
        <v>6</v>
      </c>
      <c r="H4" t="s">
        <v>7</v>
      </c>
      <c r="P4">
        <f>P22*21.6</f>
        <v>9115.2</v>
      </c>
      <c r="R4" s="4">
        <f>R22*61</f>
        <v>13115</v>
      </c>
      <c r="T4" s="4">
        <f>AD22/T22</f>
        <v>60.5</v>
      </c>
      <c r="X4">
        <f>X17/H17</f>
        <v>24.2</v>
      </c>
    </row>
    <row r="5" spans="1:31">
      <c r="A5" t="s">
        <v>8</v>
      </c>
      <c r="B5" t="s">
        <v>9</v>
      </c>
      <c r="H5" s="5" t="s">
        <v>10</v>
      </c>
      <c r="R5">
        <f>R22*19.2</f>
        <v>4128</v>
      </c>
      <c r="S5">
        <f>S22+U22</f>
        <v>20251</v>
      </c>
      <c r="T5">
        <f>S5*61%</f>
        <v>12353.11</v>
      </c>
      <c r="U5">
        <f>U22*62.5%</f>
        <v>8928.75</v>
      </c>
      <c r="AA5">
        <f>W22+AA22-AF22</f>
        <v>-8025.4</v>
      </c>
      <c r="AC5" s="9" t="s">
        <v>11</v>
      </c>
      <c r="AD5" s="9" t="s">
        <v>12</v>
      </c>
      <c r="AE5" s="9"/>
    </row>
    <row r="6" spans="8:31">
      <c r="H6" s="5" t="s">
        <v>13</v>
      </c>
      <c r="AC6" s="9"/>
      <c r="AD6" s="9"/>
      <c r="AE6" s="9"/>
    </row>
    <row r="7" spans="8:31">
      <c r="H7" s="5" t="s">
        <v>14</v>
      </c>
      <c r="AC7" s="9"/>
      <c r="AD7" s="9"/>
      <c r="AE7" s="9"/>
    </row>
    <row r="8" spans="8:31">
      <c r="H8" s="5" t="s">
        <v>15</v>
      </c>
      <c r="AC8" s="9"/>
      <c r="AD8" s="9"/>
      <c r="AE8" s="9"/>
    </row>
    <row r="9" spans="8:31">
      <c r="H9" s="5" t="s">
        <v>16</v>
      </c>
      <c r="AC9" s="9"/>
      <c r="AD9" s="9"/>
      <c r="AE9" s="9"/>
    </row>
    <row r="10" spans="8:31">
      <c r="H10" s="5" t="s">
        <v>17</v>
      </c>
      <c r="AC10" s="9"/>
      <c r="AD10" s="9"/>
      <c r="AE10" s="9"/>
    </row>
    <row r="11" spans="29:31">
      <c r="AC11" s="9"/>
      <c r="AD11" s="9"/>
      <c r="AE11" s="9"/>
    </row>
    <row r="12" spans="9:36">
      <c r="I12">
        <f>I22*21.6</f>
        <v>10324.8</v>
      </c>
      <c r="P12">
        <f>242*21.6</f>
        <v>5227.2</v>
      </c>
      <c r="X12">
        <f>X14/H14</f>
        <v>24.2</v>
      </c>
      <c r="Y12">
        <f>Y14/I14</f>
        <v>19.2</v>
      </c>
      <c r="AH12" s="9" t="s">
        <v>18</v>
      </c>
      <c r="AI12" s="11"/>
      <c r="AJ12" s="11"/>
    </row>
    <row r="13" ht="15.6" spans="1:34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s="6" t="s">
        <v>33</v>
      </c>
      <c r="P13" t="s">
        <v>34</v>
      </c>
      <c r="Q13" t="s">
        <v>35</v>
      </c>
      <c r="R13" t="s">
        <v>36</v>
      </c>
      <c r="S13" t="s">
        <v>37</v>
      </c>
      <c r="T13" t="s">
        <v>38</v>
      </c>
      <c r="U13" t="s">
        <v>39</v>
      </c>
      <c r="V13" t="s">
        <v>40</v>
      </c>
      <c r="W13" t="s">
        <v>41</v>
      </c>
      <c r="X13" t="s">
        <v>42</v>
      </c>
      <c r="Y13" t="s">
        <v>43</v>
      </c>
      <c r="Z13" t="s">
        <v>44</v>
      </c>
      <c r="AA13" t="s">
        <v>45</v>
      </c>
      <c r="AB13" s="1" t="s">
        <v>46</v>
      </c>
      <c r="AC13" s="2" t="s">
        <v>47</v>
      </c>
      <c r="AD13" s="3" t="s">
        <v>48</v>
      </c>
      <c r="AE13" s="10" t="s">
        <v>49</v>
      </c>
      <c r="AF13" t="s">
        <v>50</v>
      </c>
      <c r="AH13" s="12" t="s">
        <v>51</v>
      </c>
    </row>
    <row r="14" spans="1:34">
      <c r="A14">
        <v>1</v>
      </c>
      <c r="B14" t="s">
        <v>52</v>
      </c>
      <c r="C14" t="s">
        <v>53</v>
      </c>
      <c r="D14" t="s">
        <v>54</v>
      </c>
      <c r="E14" s="14" t="s">
        <v>55</v>
      </c>
      <c r="F14" t="s">
        <v>56</v>
      </c>
      <c r="G14">
        <v>2393708</v>
      </c>
      <c r="H14">
        <v>204</v>
      </c>
      <c r="I14">
        <v>32</v>
      </c>
      <c r="J14">
        <v>0</v>
      </c>
      <c r="K14">
        <v>236</v>
      </c>
      <c r="L14">
        <v>1266000</v>
      </c>
      <c r="M14">
        <v>0</v>
      </c>
      <c r="N14">
        <v>3659708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4936.8</v>
      </c>
      <c r="Y14">
        <v>614.4</v>
      </c>
      <c r="Z14">
        <v>0</v>
      </c>
      <c r="AA14">
        <v>5551.2</v>
      </c>
      <c r="AB14" s="1">
        <v>0</v>
      </c>
      <c r="AC14" s="2">
        <v>0</v>
      </c>
      <c r="AD14" s="3">
        <v>0</v>
      </c>
      <c r="AF14">
        <v>0</v>
      </c>
      <c r="AH14" s="4">
        <v>-5551.2</v>
      </c>
    </row>
    <row r="15" spans="1:34">
      <c r="A15">
        <v>2</v>
      </c>
      <c r="B15" t="s">
        <v>52</v>
      </c>
      <c r="C15" t="s">
        <v>53</v>
      </c>
      <c r="D15" t="s">
        <v>54</v>
      </c>
      <c r="E15" s="14" t="s">
        <v>57</v>
      </c>
      <c r="F15" t="s">
        <v>58</v>
      </c>
      <c r="G15">
        <v>-18294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-18294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1">
        <v>0</v>
      </c>
      <c r="AC15" s="2">
        <v>0</v>
      </c>
      <c r="AD15" s="3">
        <v>0</v>
      </c>
      <c r="AF15">
        <v>0</v>
      </c>
      <c r="AH15" s="4">
        <v>0</v>
      </c>
    </row>
    <row r="16" spans="1:34">
      <c r="A16">
        <v>3</v>
      </c>
      <c r="B16" t="s">
        <v>52</v>
      </c>
      <c r="C16" t="s">
        <v>53</v>
      </c>
      <c r="D16" t="s">
        <v>59</v>
      </c>
      <c r="E16" s="14" t="s">
        <v>60</v>
      </c>
      <c r="F16" t="s">
        <v>61</v>
      </c>
      <c r="G16">
        <v>50000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50000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>
        <v>0</v>
      </c>
      <c r="AC16" s="2">
        <v>0</v>
      </c>
      <c r="AD16" s="3">
        <v>0</v>
      </c>
      <c r="AF16">
        <v>0</v>
      </c>
      <c r="AH16" s="4">
        <v>0</v>
      </c>
    </row>
    <row r="17" spans="1:35">
      <c r="A17">
        <v>4</v>
      </c>
      <c r="B17" t="s">
        <v>52</v>
      </c>
      <c r="C17" t="s">
        <v>53</v>
      </c>
      <c r="D17" t="s">
        <v>59</v>
      </c>
      <c r="E17" s="14" t="s">
        <v>62</v>
      </c>
      <c r="F17" t="s">
        <v>63</v>
      </c>
      <c r="G17">
        <v>109800</v>
      </c>
      <c r="H17">
        <v>170</v>
      </c>
      <c r="I17">
        <v>0</v>
      </c>
      <c r="J17">
        <v>0</v>
      </c>
      <c r="K17">
        <v>170</v>
      </c>
      <c r="L17">
        <v>935000</v>
      </c>
      <c r="M17">
        <v>1040000</v>
      </c>
      <c r="N17">
        <v>4800</v>
      </c>
      <c r="P17">
        <v>242</v>
      </c>
      <c r="Q17">
        <v>8131.6</v>
      </c>
      <c r="R17">
        <v>0</v>
      </c>
      <c r="S17">
        <v>0</v>
      </c>
      <c r="T17">
        <v>0</v>
      </c>
      <c r="U17">
        <v>0</v>
      </c>
      <c r="V17">
        <v>242</v>
      </c>
      <c r="W17">
        <v>8131.6</v>
      </c>
      <c r="X17">
        <v>4114</v>
      </c>
      <c r="Y17">
        <v>0</v>
      </c>
      <c r="Z17">
        <v>0</v>
      </c>
      <c r="AA17">
        <v>4114</v>
      </c>
      <c r="AB17" s="1">
        <v>5227.2</v>
      </c>
      <c r="AC17" s="2">
        <v>0</v>
      </c>
      <c r="AD17" s="3">
        <v>0</v>
      </c>
      <c r="AF17">
        <v>5227.2</v>
      </c>
      <c r="AH17" s="4">
        <v>1113.2</v>
      </c>
      <c r="AI17">
        <f>AB17-AA17</f>
        <v>1113.2</v>
      </c>
    </row>
    <row r="18" spans="1:34">
      <c r="A18">
        <v>5</v>
      </c>
      <c r="B18" t="s">
        <v>52</v>
      </c>
      <c r="C18" t="s">
        <v>53</v>
      </c>
      <c r="D18" t="s">
        <v>59</v>
      </c>
      <c r="E18" s="14" t="s">
        <v>64</v>
      </c>
      <c r="F18" t="s">
        <v>65</v>
      </c>
      <c r="G18">
        <v>312750</v>
      </c>
      <c r="H18">
        <v>40</v>
      </c>
      <c r="I18">
        <v>0</v>
      </c>
      <c r="J18">
        <v>0</v>
      </c>
      <c r="K18">
        <v>40</v>
      </c>
      <c r="L18">
        <v>220000</v>
      </c>
      <c r="M18">
        <v>520000</v>
      </c>
      <c r="N18">
        <v>12750</v>
      </c>
      <c r="P18">
        <v>114</v>
      </c>
      <c r="Q18">
        <v>3830.4</v>
      </c>
      <c r="R18">
        <v>0</v>
      </c>
      <c r="S18">
        <v>0</v>
      </c>
      <c r="T18">
        <v>0</v>
      </c>
      <c r="U18">
        <v>0</v>
      </c>
      <c r="V18">
        <v>114</v>
      </c>
      <c r="W18">
        <v>3830.4</v>
      </c>
      <c r="X18">
        <v>968</v>
      </c>
      <c r="Y18">
        <v>0</v>
      </c>
      <c r="Z18">
        <v>0</v>
      </c>
      <c r="AA18">
        <v>968</v>
      </c>
      <c r="AB18" s="1">
        <v>2462.4</v>
      </c>
      <c r="AC18" s="2">
        <v>0</v>
      </c>
      <c r="AD18" s="3">
        <v>0</v>
      </c>
      <c r="AF18">
        <v>2462.4</v>
      </c>
      <c r="AH18" s="4">
        <v>1494.4</v>
      </c>
    </row>
    <row r="19" spans="1:34">
      <c r="A19">
        <v>6</v>
      </c>
      <c r="B19" t="s">
        <v>52</v>
      </c>
      <c r="C19" t="s">
        <v>53</v>
      </c>
      <c r="D19" t="s">
        <v>59</v>
      </c>
      <c r="E19" s="14" t="s">
        <v>66</v>
      </c>
      <c r="F19" t="s">
        <v>67</v>
      </c>
      <c r="G19">
        <v>-97500</v>
      </c>
      <c r="H19">
        <v>8</v>
      </c>
      <c r="I19">
        <v>24</v>
      </c>
      <c r="J19">
        <v>0</v>
      </c>
      <c r="K19">
        <v>32</v>
      </c>
      <c r="L19">
        <v>152000</v>
      </c>
      <c r="M19">
        <v>260000</v>
      </c>
      <c r="N19">
        <v>-205500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193.6</v>
      </c>
      <c r="Y19">
        <v>460.8</v>
      </c>
      <c r="Z19">
        <v>0</v>
      </c>
      <c r="AA19">
        <v>654.4</v>
      </c>
      <c r="AB19" s="1">
        <v>0</v>
      </c>
      <c r="AC19" s="2">
        <v>0</v>
      </c>
      <c r="AD19" s="3">
        <v>0</v>
      </c>
      <c r="AF19">
        <v>0</v>
      </c>
      <c r="AH19" s="4">
        <v>-654.4</v>
      </c>
    </row>
    <row r="20" spans="1:34">
      <c r="A20">
        <v>7</v>
      </c>
      <c r="B20" t="s">
        <v>52</v>
      </c>
      <c r="C20" t="s">
        <v>68</v>
      </c>
      <c r="D20" t="s">
        <v>69</v>
      </c>
      <c r="E20" s="14" t="s">
        <v>70</v>
      </c>
      <c r="F20" t="s">
        <v>71</v>
      </c>
      <c r="G20">
        <v>829347</v>
      </c>
      <c r="H20">
        <v>231</v>
      </c>
      <c r="I20">
        <v>0</v>
      </c>
      <c r="J20">
        <v>0</v>
      </c>
      <c r="K20">
        <v>231</v>
      </c>
      <c r="L20">
        <v>1292300</v>
      </c>
      <c r="M20">
        <v>659000</v>
      </c>
      <c r="N20">
        <v>1462647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5590.2</v>
      </c>
      <c r="Y20">
        <v>0</v>
      </c>
      <c r="Z20">
        <v>0</v>
      </c>
      <c r="AA20">
        <v>5590.2</v>
      </c>
      <c r="AB20" s="1">
        <v>0</v>
      </c>
      <c r="AC20" s="2">
        <v>0</v>
      </c>
      <c r="AD20" s="3">
        <v>0</v>
      </c>
      <c r="AF20">
        <v>0</v>
      </c>
      <c r="AH20" s="4">
        <v>-5590.2</v>
      </c>
    </row>
    <row r="21" spans="1:34">
      <c r="A21">
        <v>8</v>
      </c>
      <c r="B21" t="s">
        <v>52</v>
      </c>
      <c r="C21" t="s">
        <v>68</v>
      </c>
      <c r="D21" t="s">
        <v>69</v>
      </c>
      <c r="E21" s="14" t="s">
        <v>72</v>
      </c>
      <c r="F21" t="s">
        <v>73</v>
      </c>
      <c r="G21">
        <v>-5000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-5000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">
        <v>0</v>
      </c>
      <c r="AC21" s="2">
        <v>0</v>
      </c>
      <c r="AD21" s="3">
        <v>0</v>
      </c>
      <c r="AF21">
        <v>0</v>
      </c>
      <c r="AH21" s="4">
        <v>0</v>
      </c>
    </row>
    <row r="22" spans="1:36">
      <c r="A22">
        <v>9</v>
      </c>
      <c r="B22" t="s">
        <v>52</v>
      </c>
      <c r="C22" t="s">
        <v>74</v>
      </c>
      <c r="D22" t="s">
        <v>75</v>
      </c>
      <c r="E22" s="14" t="s">
        <v>76</v>
      </c>
      <c r="F22" t="s">
        <v>77</v>
      </c>
      <c r="G22">
        <v>6406700</v>
      </c>
      <c r="H22">
        <v>330</v>
      </c>
      <c r="I22">
        <v>478</v>
      </c>
      <c r="J22">
        <v>0</v>
      </c>
      <c r="K22">
        <v>808</v>
      </c>
      <c r="L22">
        <v>3966000</v>
      </c>
      <c r="M22">
        <v>3000000</v>
      </c>
      <c r="N22">
        <v>7372700</v>
      </c>
      <c r="P22">
        <v>422</v>
      </c>
      <c r="Q22">
        <v>14179.2</v>
      </c>
      <c r="R22">
        <v>215</v>
      </c>
      <c r="S22">
        <v>5965</v>
      </c>
      <c r="T22">
        <v>618</v>
      </c>
      <c r="U22">
        <v>14286</v>
      </c>
      <c r="V22">
        <v>1255</v>
      </c>
      <c r="W22">
        <v>34430.2</v>
      </c>
      <c r="X22">
        <v>7986</v>
      </c>
      <c r="Y22">
        <v>9177.6</v>
      </c>
      <c r="Z22">
        <v>0</v>
      </c>
      <c r="AA22">
        <v>17163.6</v>
      </c>
      <c r="AB22" s="1">
        <v>9115.2</v>
      </c>
      <c r="AC22" s="2">
        <v>13115</v>
      </c>
      <c r="AD22" s="3">
        <v>37389</v>
      </c>
      <c r="AF22">
        <v>59619.2</v>
      </c>
      <c r="AH22" s="4">
        <v>42455.6</v>
      </c>
      <c r="AJ22" s="13">
        <f>AF22-AA22</f>
        <v>42455.6</v>
      </c>
    </row>
    <row r="23" spans="1:36">
      <c r="A23">
        <v>10</v>
      </c>
      <c r="B23" t="s">
        <v>52</v>
      </c>
      <c r="C23" t="s">
        <v>74</v>
      </c>
      <c r="D23" t="s">
        <v>75</v>
      </c>
      <c r="E23" s="14" t="s">
        <v>78</v>
      </c>
      <c r="F23" t="s">
        <v>79</v>
      </c>
      <c r="G23">
        <v>3657795</v>
      </c>
      <c r="H23">
        <v>140</v>
      </c>
      <c r="I23">
        <v>316</v>
      </c>
      <c r="J23">
        <v>0</v>
      </c>
      <c r="K23">
        <v>456</v>
      </c>
      <c r="L23">
        <v>2192000</v>
      </c>
      <c r="M23">
        <v>2000000</v>
      </c>
      <c r="N23">
        <v>3849795</v>
      </c>
      <c r="P23">
        <v>336</v>
      </c>
      <c r="Q23">
        <v>11289.6</v>
      </c>
      <c r="R23">
        <v>257</v>
      </c>
      <c r="S23">
        <v>7143.2</v>
      </c>
      <c r="T23">
        <v>713</v>
      </c>
      <c r="U23">
        <v>16724</v>
      </c>
      <c r="V23">
        <v>1306</v>
      </c>
      <c r="W23">
        <v>35156.8</v>
      </c>
      <c r="X23">
        <v>3388</v>
      </c>
      <c r="Y23">
        <v>6067.2</v>
      </c>
      <c r="Z23">
        <v>0</v>
      </c>
      <c r="AA23">
        <v>9455.2</v>
      </c>
      <c r="AB23" s="1">
        <v>7257.6</v>
      </c>
      <c r="AC23" s="2">
        <v>15677</v>
      </c>
      <c r="AD23" s="3">
        <v>43136.5</v>
      </c>
      <c r="AF23">
        <v>66071.1</v>
      </c>
      <c r="AH23" s="4">
        <v>56615.9</v>
      </c>
      <c r="AJ23">
        <f>AF23-AA23</f>
        <v>56615.9</v>
      </c>
    </row>
    <row r="24" spans="1:36">
      <c r="A24">
        <v>11</v>
      </c>
      <c r="B24" t="s">
        <v>52</v>
      </c>
      <c r="C24" t="s">
        <v>74</v>
      </c>
      <c r="D24" t="s">
        <v>75</v>
      </c>
      <c r="E24" s="14" t="s">
        <v>80</v>
      </c>
      <c r="F24" t="s">
        <v>81</v>
      </c>
      <c r="G24">
        <v>-76500</v>
      </c>
      <c r="H24">
        <v>15</v>
      </c>
      <c r="I24">
        <v>68</v>
      </c>
      <c r="J24">
        <v>0</v>
      </c>
      <c r="K24">
        <v>83</v>
      </c>
      <c r="L24">
        <v>388500</v>
      </c>
      <c r="M24">
        <v>400000</v>
      </c>
      <c r="N24">
        <v>-88000</v>
      </c>
      <c r="P24">
        <v>8</v>
      </c>
      <c r="Q24">
        <v>268.8</v>
      </c>
      <c r="R24">
        <v>189</v>
      </c>
      <c r="S24">
        <v>5068</v>
      </c>
      <c r="T24">
        <v>23</v>
      </c>
      <c r="U24">
        <v>671</v>
      </c>
      <c r="V24">
        <v>220</v>
      </c>
      <c r="W24">
        <v>6007.8</v>
      </c>
      <c r="X24">
        <v>363</v>
      </c>
      <c r="Y24">
        <v>1305.6</v>
      </c>
      <c r="Z24">
        <v>0</v>
      </c>
      <c r="AA24">
        <v>1668.6</v>
      </c>
      <c r="AB24" s="1">
        <v>172.8</v>
      </c>
      <c r="AC24" s="2">
        <v>11529</v>
      </c>
      <c r="AD24" s="3">
        <v>1391.5</v>
      </c>
      <c r="AF24">
        <v>13093.3</v>
      </c>
      <c r="AH24" s="4">
        <v>11424.7</v>
      </c>
      <c r="AJ24">
        <f>AF24-AA24</f>
        <v>11424.7</v>
      </c>
    </row>
    <row r="25" spans="1:36">
      <c r="A25">
        <v>12</v>
      </c>
      <c r="B25" t="s">
        <v>52</v>
      </c>
      <c r="C25" t="s">
        <v>74</v>
      </c>
      <c r="D25" t="s">
        <v>82</v>
      </c>
      <c r="E25" s="14" t="s">
        <v>83</v>
      </c>
      <c r="F25" t="s">
        <v>84</v>
      </c>
      <c r="G25">
        <v>1960200</v>
      </c>
      <c r="H25">
        <v>30</v>
      </c>
      <c r="I25">
        <v>104</v>
      </c>
      <c r="J25">
        <v>0</v>
      </c>
      <c r="K25">
        <v>134</v>
      </c>
      <c r="L25">
        <v>633000</v>
      </c>
      <c r="M25">
        <v>1022500</v>
      </c>
      <c r="N25">
        <v>1570700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726</v>
      </c>
      <c r="Y25">
        <v>1996.8</v>
      </c>
      <c r="Z25">
        <v>0</v>
      </c>
      <c r="AA25">
        <v>2722.8</v>
      </c>
      <c r="AB25" s="1">
        <v>0</v>
      </c>
      <c r="AC25" s="2">
        <v>0</v>
      </c>
      <c r="AD25" s="3">
        <v>0</v>
      </c>
      <c r="AF25">
        <v>0</v>
      </c>
      <c r="AH25" s="4">
        <v>-2722.8</v>
      </c>
      <c r="AJ25">
        <f>AF25-AA25</f>
        <v>-2722.8</v>
      </c>
    </row>
    <row r="26" spans="1:36">
      <c r="A26">
        <v>13</v>
      </c>
      <c r="B26" t="s">
        <v>52</v>
      </c>
      <c r="C26" t="s">
        <v>74</v>
      </c>
      <c r="D26" t="s">
        <v>82</v>
      </c>
      <c r="E26" s="14" t="s">
        <v>85</v>
      </c>
      <c r="F26" t="s">
        <v>86</v>
      </c>
      <c r="G26">
        <v>958635</v>
      </c>
      <c r="H26">
        <v>20</v>
      </c>
      <c r="I26">
        <v>88</v>
      </c>
      <c r="J26">
        <v>0</v>
      </c>
      <c r="K26">
        <v>108</v>
      </c>
      <c r="L26">
        <v>506000</v>
      </c>
      <c r="M26">
        <v>0</v>
      </c>
      <c r="N26">
        <v>1464635</v>
      </c>
      <c r="P26">
        <v>57</v>
      </c>
      <c r="Q26">
        <v>1915.2</v>
      </c>
      <c r="R26">
        <v>0</v>
      </c>
      <c r="S26">
        <v>0</v>
      </c>
      <c r="T26">
        <v>200</v>
      </c>
      <c r="U26">
        <v>4945</v>
      </c>
      <c r="V26">
        <v>257</v>
      </c>
      <c r="W26">
        <v>6860.2</v>
      </c>
      <c r="X26">
        <v>484</v>
      </c>
      <c r="Y26">
        <v>1689.6</v>
      </c>
      <c r="Z26">
        <v>0</v>
      </c>
      <c r="AA26">
        <v>2173.6</v>
      </c>
      <c r="AB26" s="1">
        <v>1231.2</v>
      </c>
      <c r="AC26" s="2">
        <v>0</v>
      </c>
      <c r="AD26" s="3">
        <v>12100</v>
      </c>
      <c r="AF26">
        <v>13331.2</v>
      </c>
      <c r="AH26" s="4">
        <v>11157.6</v>
      </c>
      <c r="AJ26">
        <f>AF26-AA26</f>
        <v>11157.6</v>
      </c>
    </row>
    <row r="27" spans="1:34">
      <c r="A27">
        <v>14</v>
      </c>
      <c r="B27" t="s">
        <v>52</v>
      </c>
      <c r="C27" t="s">
        <v>87</v>
      </c>
      <c r="D27" t="s">
        <v>88</v>
      </c>
      <c r="E27" s="14" t="s">
        <v>89</v>
      </c>
      <c r="F27" t="s">
        <v>90</v>
      </c>
      <c r="G27">
        <v>2353000</v>
      </c>
      <c r="H27">
        <v>0</v>
      </c>
      <c r="I27">
        <v>348</v>
      </c>
      <c r="J27">
        <v>0</v>
      </c>
      <c r="K27">
        <v>348</v>
      </c>
      <c r="L27">
        <v>1566000</v>
      </c>
      <c r="M27">
        <v>780000</v>
      </c>
      <c r="N27">
        <v>3139000</v>
      </c>
      <c r="P27">
        <v>0</v>
      </c>
      <c r="Q27">
        <v>0</v>
      </c>
      <c r="R27">
        <v>0</v>
      </c>
      <c r="S27">
        <v>0</v>
      </c>
      <c r="T27">
        <v>244</v>
      </c>
      <c r="U27">
        <v>6880</v>
      </c>
      <c r="V27">
        <v>244</v>
      </c>
      <c r="W27">
        <v>6880</v>
      </c>
      <c r="X27">
        <v>0</v>
      </c>
      <c r="Y27">
        <v>6681.6</v>
      </c>
      <c r="Z27">
        <v>0</v>
      </c>
      <c r="AA27">
        <v>6681.6</v>
      </c>
      <c r="AB27" s="1">
        <v>0</v>
      </c>
      <c r="AC27" s="2">
        <v>0</v>
      </c>
      <c r="AD27" s="3">
        <v>14762</v>
      </c>
      <c r="AF27">
        <v>14762</v>
      </c>
      <c r="AH27" s="4">
        <v>8080.4</v>
      </c>
    </row>
    <row r="28" spans="1:34">
      <c r="A28">
        <v>15</v>
      </c>
      <c r="B28" t="s">
        <v>52</v>
      </c>
      <c r="C28" t="s">
        <v>91</v>
      </c>
      <c r="D28" t="s">
        <v>92</v>
      </c>
      <c r="E28" s="14" t="s">
        <v>93</v>
      </c>
      <c r="F28" t="s">
        <v>94</v>
      </c>
      <c r="G28">
        <v>2429041</v>
      </c>
      <c r="H28">
        <v>20</v>
      </c>
      <c r="I28">
        <v>101</v>
      </c>
      <c r="J28">
        <v>0</v>
      </c>
      <c r="K28">
        <v>121</v>
      </c>
      <c r="L28">
        <v>564500</v>
      </c>
      <c r="M28">
        <v>899886</v>
      </c>
      <c r="N28">
        <v>2093655</v>
      </c>
      <c r="P28">
        <v>0</v>
      </c>
      <c r="Q28">
        <v>0</v>
      </c>
      <c r="R28">
        <v>0</v>
      </c>
      <c r="S28">
        <v>0</v>
      </c>
      <c r="T28">
        <v>292</v>
      </c>
      <c r="U28">
        <v>8512.6</v>
      </c>
      <c r="V28">
        <v>292</v>
      </c>
      <c r="W28">
        <v>8512.6</v>
      </c>
      <c r="X28">
        <v>484</v>
      </c>
      <c r="Y28">
        <v>1939.2</v>
      </c>
      <c r="Z28">
        <v>0</v>
      </c>
      <c r="AA28">
        <v>2423.2</v>
      </c>
      <c r="AB28" s="1">
        <v>0</v>
      </c>
      <c r="AC28" s="2">
        <v>0</v>
      </c>
      <c r="AD28" s="3">
        <v>17666</v>
      </c>
      <c r="AF28">
        <v>17666</v>
      </c>
      <c r="AH28" s="4">
        <v>15242.8</v>
      </c>
    </row>
    <row r="29" spans="1:34">
      <c r="A29">
        <v>16</v>
      </c>
      <c r="B29" t="s">
        <v>52</v>
      </c>
      <c r="C29" t="s">
        <v>91</v>
      </c>
      <c r="D29" t="s">
        <v>95</v>
      </c>
      <c r="E29" s="14" t="s">
        <v>96</v>
      </c>
      <c r="F29" t="s">
        <v>97</v>
      </c>
      <c r="G29">
        <v>295000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295000</v>
      </c>
      <c r="P29">
        <v>114</v>
      </c>
      <c r="Q29">
        <v>3830.4</v>
      </c>
      <c r="R29">
        <v>0</v>
      </c>
      <c r="S29">
        <v>0</v>
      </c>
      <c r="T29">
        <v>0</v>
      </c>
      <c r="U29">
        <v>0</v>
      </c>
      <c r="V29">
        <v>114</v>
      </c>
      <c r="W29">
        <v>3830.4</v>
      </c>
      <c r="X29">
        <v>0</v>
      </c>
      <c r="Y29">
        <v>0</v>
      </c>
      <c r="Z29">
        <v>0</v>
      </c>
      <c r="AA29">
        <v>0</v>
      </c>
      <c r="AB29" s="1">
        <v>2462.4</v>
      </c>
      <c r="AC29" s="2">
        <v>0</v>
      </c>
      <c r="AD29" s="3">
        <v>0</v>
      </c>
      <c r="AF29">
        <v>2462.4</v>
      </c>
      <c r="AH29" s="4">
        <v>2462.4</v>
      </c>
    </row>
    <row r="30" spans="1:34">
      <c r="A30">
        <v>17</v>
      </c>
      <c r="B30" t="s">
        <v>98</v>
      </c>
      <c r="C30" t="s">
        <v>99</v>
      </c>
      <c r="D30" t="s">
        <v>100</v>
      </c>
      <c r="E30" s="14" t="s">
        <v>101</v>
      </c>
      <c r="F30" t="s">
        <v>102</v>
      </c>
      <c r="G30">
        <v>0</v>
      </c>
      <c r="H30">
        <v>70</v>
      </c>
      <c r="I30">
        <v>12</v>
      </c>
      <c r="J30">
        <v>0</v>
      </c>
      <c r="K30">
        <v>82</v>
      </c>
      <c r="L30">
        <v>439000</v>
      </c>
      <c r="M30">
        <v>200000</v>
      </c>
      <c r="N30">
        <v>239000</v>
      </c>
      <c r="P30">
        <v>278</v>
      </c>
      <c r="Q30">
        <v>9340.8</v>
      </c>
      <c r="R30">
        <v>0</v>
      </c>
      <c r="S30">
        <v>0</v>
      </c>
      <c r="T30">
        <v>0</v>
      </c>
      <c r="U30">
        <v>0</v>
      </c>
      <c r="V30">
        <v>278</v>
      </c>
      <c r="W30">
        <v>9340.8</v>
      </c>
      <c r="X30">
        <v>1694</v>
      </c>
      <c r="Y30">
        <v>230.4</v>
      </c>
      <c r="Z30">
        <v>0</v>
      </c>
      <c r="AA30">
        <v>1924.4</v>
      </c>
      <c r="AB30" s="1">
        <v>6004.8</v>
      </c>
      <c r="AC30" s="2">
        <v>0</v>
      </c>
      <c r="AD30" s="3">
        <v>0</v>
      </c>
      <c r="AF30">
        <v>6004.8</v>
      </c>
      <c r="AH30" s="4">
        <v>4080.4</v>
      </c>
    </row>
    <row r="31" spans="1:34">
      <c r="A31">
        <v>18</v>
      </c>
      <c r="B31" t="s">
        <v>98</v>
      </c>
      <c r="C31" t="s">
        <v>99</v>
      </c>
      <c r="D31" t="s">
        <v>103</v>
      </c>
      <c r="E31" s="14" t="s">
        <v>104</v>
      </c>
      <c r="F31" t="s">
        <v>105</v>
      </c>
      <c r="G31">
        <v>-19400</v>
      </c>
      <c r="H31">
        <v>75</v>
      </c>
      <c r="I31">
        <v>0</v>
      </c>
      <c r="J31">
        <v>0</v>
      </c>
      <c r="K31">
        <v>75</v>
      </c>
      <c r="L31">
        <v>412500</v>
      </c>
      <c r="M31">
        <v>428750</v>
      </c>
      <c r="N31">
        <v>-35650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1815</v>
      </c>
      <c r="Y31">
        <v>0</v>
      </c>
      <c r="Z31">
        <v>0</v>
      </c>
      <c r="AA31">
        <v>1815</v>
      </c>
      <c r="AB31" s="1">
        <v>0</v>
      </c>
      <c r="AC31" s="2">
        <v>0</v>
      </c>
      <c r="AD31" s="3">
        <v>0</v>
      </c>
      <c r="AF31">
        <v>0</v>
      </c>
      <c r="AH31" s="4">
        <v>-1815</v>
      </c>
    </row>
    <row r="32" spans="1:34">
      <c r="A32">
        <v>19</v>
      </c>
      <c r="B32" t="s">
        <v>98</v>
      </c>
      <c r="C32" t="s">
        <v>106</v>
      </c>
      <c r="D32" t="s">
        <v>107</v>
      </c>
      <c r="E32" s="14" t="s">
        <v>108</v>
      </c>
      <c r="F32" t="s">
        <v>109</v>
      </c>
      <c r="G32">
        <v>130400</v>
      </c>
      <c r="H32">
        <v>85</v>
      </c>
      <c r="I32">
        <v>0</v>
      </c>
      <c r="J32">
        <v>0</v>
      </c>
      <c r="K32">
        <v>85</v>
      </c>
      <c r="L32">
        <v>467500</v>
      </c>
      <c r="M32">
        <v>199800</v>
      </c>
      <c r="N32">
        <v>398100</v>
      </c>
      <c r="P32">
        <v>75</v>
      </c>
      <c r="Q32">
        <v>2520</v>
      </c>
      <c r="R32">
        <v>0</v>
      </c>
      <c r="S32">
        <v>0</v>
      </c>
      <c r="T32">
        <v>0</v>
      </c>
      <c r="U32">
        <v>0</v>
      </c>
      <c r="V32">
        <v>75</v>
      </c>
      <c r="W32">
        <v>2520</v>
      </c>
      <c r="X32">
        <v>2057</v>
      </c>
      <c r="Y32">
        <v>0</v>
      </c>
      <c r="Z32">
        <v>0</v>
      </c>
      <c r="AA32">
        <v>2057</v>
      </c>
      <c r="AB32" s="1">
        <v>1620</v>
      </c>
      <c r="AC32" s="2">
        <v>0</v>
      </c>
      <c r="AD32" s="3">
        <v>0</v>
      </c>
      <c r="AF32">
        <v>1620</v>
      </c>
      <c r="AH32" s="4">
        <v>-437</v>
      </c>
    </row>
    <row r="33" spans="1:34">
      <c r="A33">
        <v>20</v>
      </c>
      <c r="B33" t="s">
        <v>52</v>
      </c>
      <c r="C33" t="s">
        <v>53</v>
      </c>
      <c r="D33" t="s">
        <v>59</v>
      </c>
      <c r="E33" s="14" t="s">
        <v>110</v>
      </c>
      <c r="F33" t="s">
        <v>111</v>
      </c>
      <c r="G33">
        <v>-18000</v>
      </c>
      <c r="H33">
        <v>100</v>
      </c>
      <c r="I33">
        <v>0</v>
      </c>
      <c r="J33">
        <v>0</v>
      </c>
      <c r="K33">
        <v>100</v>
      </c>
      <c r="L33">
        <v>551000</v>
      </c>
      <c r="M33">
        <v>439000</v>
      </c>
      <c r="N33">
        <v>94000</v>
      </c>
      <c r="P33">
        <v>90</v>
      </c>
      <c r="Q33">
        <v>3024</v>
      </c>
      <c r="R33">
        <v>0</v>
      </c>
      <c r="S33">
        <v>0</v>
      </c>
      <c r="T33">
        <v>0</v>
      </c>
      <c r="U33">
        <v>0</v>
      </c>
      <c r="V33">
        <v>90</v>
      </c>
      <c r="W33">
        <v>3024</v>
      </c>
      <c r="X33">
        <v>2420</v>
      </c>
      <c r="Y33">
        <v>0</v>
      </c>
      <c r="Z33">
        <v>0</v>
      </c>
      <c r="AA33">
        <v>2420</v>
      </c>
      <c r="AB33" s="1">
        <v>1944</v>
      </c>
      <c r="AC33" s="2">
        <v>0</v>
      </c>
      <c r="AD33" s="3">
        <v>0</v>
      </c>
      <c r="AF33">
        <v>1944</v>
      </c>
      <c r="AH33" s="4">
        <v>-476</v>
      </c>
    </row>
    <row r="34" spans="1:34">
      <c r="A34">
        <v>21</v>
      </c>
      <c r="B34" t="s">
        <v>98</v>
      </c>
      <c r="C34" t="s">
        <v>106</v>
      </c>
      <c r="D34" t="s">
        <v>112</v>
      </c>
      <c r="E34" s="14" t="s">
        <v>113</v>
      </c>
      <c r="F34" t="s">
        <v>114</v>
      </c>
      <c r="G34">
        <v>-6000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-6000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1">
        <v>0</v>
      </c>
      <c r="AC34" s="2">
        <v>0</v>
      </c>
      <c r="AD34" s="3">
        <v>0</v>
      </c>
      <c r="AF34">
        <v>0</v>
      </c>
      <c r="AH34" s="4">
        <v>0</v>
      </c>
    </row>
    <row r="35" spans="1:34">
      <c r="A35">
        <v>22</v>
      </c>
      <c r="B35" t="s">
        <v>98</v>
      </c>
      <c r="C35" t="s">
        <v>106</v>
      </c>
      <c r="D35" t="s">
        <v>107</v>
      </c>
      <c r="E35" s="14" t="s">
        <v>115</v>
      </c>
      <c r="F35" t="s">
        <v>116</v>
      </c>
      <c r="G35">
        <v>3000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1">
        <v>0</v>
      </c>
      <c r="AC35" s="2">
        <v>0</v>
      </c>
      <c r="AD35" s="3">
        <v>0</v>
      </c>
      <c r="AF35">
        <v>0</v>
      </c>
      <c r="AH35" s="4">
        <v>0</v>
      </c>
    </row>
    <row r="36" spans="1:34">
      <c r="A36">
        <v>23</v>
      </c>
      <c r="B36" t="s">
        <v>52</v>
      </c>
      <c r="C36" t="s">
        <v>91</v>
      </c>
      <c r="D36" t="s">
        <v>92</v>
      </c>
      <c r="E36" s="14" t="s">
        <v>117</v>
      </c>
      <c r="F36" t="s">
        <v>118</v>
      </c>
      <c r="G36">
        <v>9709910</v>
      </c>
      <c r="H36">
        <v>145</v>
      </c>
      <c r="I36">
        <v>384</v>
      </c>
      <c r="J36">
        <v>0</v>
      </c>
      <c r="K36">
        <v>529</v>
      </c>
      <c r="L36">
        <v>2516500</v>
      </c>
      <c r="M36">
        <v>1999770</v>
      </c>
      <c r="N36">
        <v>10226640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3509</v>
      </c>
      <c r="Y36">
        <v>7372.8</v>
      </c>
      <c r="Z36">
        <v>0</v>
      </c>
      <c r="AA36">
        <v>10881.8</v>
      </c>
      <c r="AB36" s="1">
        <v>0</v>
      </c>
      <c r="AC36" s="2">
        <v>0</v>
      </c>
      <c r="AD36" s="3">
        <v>0</v>
      </c>
      <c r="AF36">
        <v>0</v>
      </c>
      <c r="AH36" s="4">
        <v>-10881.8</v>
      </c>
    </row>
    <row r="37" spans="1:34">
      <c r="A37">
        <v>24</v>
      </c>
      <c r="B37" t="s">
        <v>52</v>
      </c>
      <c r="C37" t="s">
        <v>53</v>
      </c>
      <c r="D37" t="s">
        <v>54</v>
      </c>
      <c r="E37" s="14" t="s">
        <v>119</v>
      </c>
      <c r="F37" t="s">
        <v>120</v>
      </c>
      <c r="G37">
        <v>0</v>
      </c>
      <c r="H37">
        <v>96</v>
      </c>
      <c r="I37">
        <v>8</v>
      </c>
      <c r="J37">
        <v>0</v>
      </c>
      <c r="K37">
        <v>104</v>
      </c>
      <c r="L37">
        <v>564000</v>
      </c>
      <c r="M37">
        <v>520000</v>
      </c>
      <c r="N37">
        <v>44000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2323.2</v>
      </c>
      <c r="Y37">
        <v>153.6</v>
      </c>
      <c r="Z37">
        <v>0</v>
      </c>
      <c r="AA37">
        <v>2476.8</v>
      </c>
      <c r="AB37" s="1">
        <v>0</v>
      </c>
      <c r="AC37" s="2">
        <v>0</v>
      </c>
      <c r="AD37" s="3">
        <v>0</v>
      </c>
      <c r="AF37">
        <v>0</v>
      </c>
      <c r="AH37" s="4">
        <v>-2476.8</v>
      </c>
    </row>
    <row r="38" spans="1:34">
      <c r="A38">
        <v>25</v>
      </c>
      <c r="B38" t="s">
        <v>52</v>
      </c>
      <c r="C38" t="s">
        <v>74</v>
      </c>
      <c r="D38" t="s">
        <v>82</v>
      </c>
      <c r="E38" s="14" t="s">
        <v>121</v>
      </c>
      <c r="F38" t="s">
        <v>122</v>
      </c>
      <c r="G38">
        <v>4072200</v>
      </c>
      <c r="H38">
        <v>0</v>
      </c>
      <c r="I38">
        <v>316</v>
      </c>
      <c r="J38">
        <v>0</v>
      </c>
      <c r="K38">
        <v>316</v>
      </c>
      <c r="L38">
        <v>1422000</v>
      </c>
      <c r="M38">
        <v>0</v>
      </c>
      <c r="N38">
        <v>5494200</v>
      </c>
      <c r="P38">
        <v>0</v>
      </c>
      <c r="Q38">
        <v>0</v>
      </c>
      <c r="R38">
        <v>107</v>
      </c>
      <c r="S38">
        <v>2985</v>
      </c>
      <c r="T38">
        <v>239</v>
      </c>
      <c r="U38">
        <v>6299.2</v>
      </c>
      <c r="V38">
        <v>346</v>
      </c>
      <c r="W38">
        <v>9284.2</v>
      </c>
      <c r="X38">
        <v>0</v>
      </c>
      <c r="Y38">
        <v>6067.2</v>
      </c>
      <c r="Z38">
        <v>0</v>
      </c>
      <c r="AA38">
        <v>6067.2</v>
      </c>
      <c r="AB38" s="1">
        <v>0</v>
      </c>
      <c r="AC38" s="2">
        <v>6527</v>
      </c>
      <c r="AD38" s="3">
        <v>14459.5</v>
      </c>
      <c r="AF38">
        <v>20986.5</v>
      </c>
      <c r="AH38" s="4">
        <v>14919.3</v>
      </c>
    </row>
    <row r="39" spans="1:34">
      <c r="A39">
        <v>26</v>
      </c>
      <c r="B39" t="s">
        <v>98</v>
      </c>
      <c r="C39" t="s">
        <v>106</v>
      </c>
      <c r="D39" t="s">
        <v>112</v>
      </c>
      <c r="E39" s="14" t="s">
        <v>123</v>
      </c>
      <c r="F39" t="s">
        <v>124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57</v>
      </c>
      <c r="Q39">
        <v>1915.2</v>
      </c>
      <c r="R39">
        <v>0</v>
      </c>
      <c r="S39">
        <v>0</v>
      </c>
      <c r="T39">
        <v>0</v>
      </c>
      <c r="U39">
        <v>0</v>
      </c>
      <c r="V39">
        <v>57</v>
      </c>
      <c r="W39">
        <v>1915.2</v>
      </c>
      <c r="X39">
        <v>0</v>
      </c>
      <c r="Y39">
        <v>0</v>
      </c>
      <c r="Z39">
        <v>0</v>
      </c>
      <c r="AA39">
        <v>0</v>
      </c>
      <c r="AB39" s="1">
        <v>1231.2</v>
      </c>
      <c r="AC39" s="2">
        <v>0</v>
      </c>
      <c r="AD39" s="3">
        <v>0</v>
      </c>
      <c r="AF39">
        <v>1231.2</v>
      </c>
      <c r="AH39" s="4">
        <v>1231.2</v>
      </c>
    </row>
    <row r="40" spans="1:34">
      <c r="A40">
        <v>27</v>
      </c>
      <c r="B40" t="s">
        <v>52</v>
      </c>
      <c r="C40" t="s">
        <v>53</v>
      </c>
      <c r="D40" t="s">
        <v>59</v>
      </c>
      <c r="E40" s="14" t="s">
        <v>125</v>
      </c>
      <c r="F40" t="s">
        <v>126</v>
      </c>
      <c r="G40">
        <v>557100</v>
      </c>
      <c r="H40">
        <v>0</v>
      </c>
      <c r="I40">
        <v>140</v>
      </c>
      <c r="J40">
        <v>0</v>
      </c>
      <c r="K40">
        <v>140</v>
      </c>
      <c r="L40">
        <v>630000</v>
      </c>
      <c r="M40">
        <v>560000</v>
      </c>
      <c r="N40">
        <v>627100</v>
      </c>
      <c r="P40">
        <v>0</v>
      </c>
      <c r="Q40">
        <v>0</v>
      </c>
      <c r="R40">
        <v>0</v>
      </c>
      <c r="S40">
        <v>0</v>
      </c>
      <c r="T40">
        <v>110</v>
      </c>
      <c r="U40">
        <v>3077.5</v>
      </c>
      <c r="V40">
        <v>110</v>
      </c>
      <c r="W40">
        <v>3077.5</v>
      </c>
      <c r="X40">
        <v>0</v>
      </c>
      <c r="Y40">
        <v>2688</v>
      </c>
      <c r="Z40">
        <v>0</v>
      </c>
      <c r="AA40">
        <v>2688</v>
      </c>
      <c r="AB40" s="1">
        <v>0</v>
      </c>
      <c r="AC40" s="2">
        <v>0</v>
      </c>
      <c r="AD40" s="3">
        <v>6655</v>
      </c>
      <c r="AF40">
        <v>6655</v>
      </c>
      <c r="AH40" s="4">
        <v>3967</v>
      </c>
    </row>
    <row r="41" spans="1:34">
      <c r="A41">
        <v>28</v>
      </c>
      <c r="B41" t="s">
        <v>98</v>
      </c>
      <c r="C41" t="s">
        <v>127</v>
      </c>
      <c r="D41" t="s">
        <v>128</v>
      </c>
      <c r="E41" s="14" t="s">
        <v>129</v>
      </c>
      <c r="F41" t="s">
        <v>130</v>
      </c>
      <c r="G41">
        <v>43700</v>
      </c>
      <c r="H41">
        <v>20</v>
      </c>
      <c r="I41">
        <v>0</v>
      </c>
      <c r="J41">
        <v>0</v>
      </c>
      <c r="K41">
        <v>20</v>
      </c>
      <c r="L41">
        <v>110000</v>
      </c>
      <c r="M41">
        <v>102300</v>
      </c>
      <c r="N41">
        <v>51400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484</v>
      </c>
      <c r="Y41">
        <v>0</v>
      </c>
      <c r="Z41">
        <v>0</v>
      </c>
      <c r="AA41">
        <v>484</v>
      </c>
      <c r="AB41" s="1">
        <v>0</v>
      </c>
      <c r="AC41" s="2">
        <v>0</v>
      </c>
      <c r="AD41" s="3">
        <v>0</v>
      </c>
      <c r="AF41">
        <v>0</v>
      </c>
      <c r="AH41" s="4">
        <v>-484</v>
      </c>
    </row>
    <row r="42" spans="1:34">
      <c r="A42">
        <v>29</v>
      </c>
      <c r="B42" t="s">
        <v>52</v>
      </c>
      <c r="C42" t="s">
        <v>91</v>
      </c>
      <c r="D42" t="s">
        <v>95</v>
      </c>
      <c r="E42" s="14" t="s">
        <v>131</v>
      </c>
      <c r="F42" t="s">
        <v>132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">
        <v>0</v>
      </c>
      <c r="AC42" s="2">
        <v>0</v>
      </c>
      <c r="AD42" s="3">
        <v>0</v>
      </c>
      <c r="AF42">
        <v>0</v>
      </c>
      <c r="AH42" s="4">
        <v>0</v>
      </c>
    </row>
    <row r="43" spans="1:34">
      <c r="A43">
        <v>30</v>
      </c>
      <c r="B43" t="s">
        <v>52</v>
      </c>
      <c r="C43" t="s">
        <v>74</v>
      </c>
      <c r="D43" t="s">
        <v>82</v>
      </c>
      <c r="E43" s="14" t="s">
        <v>133</v>
      </c>
      <c r="F43" t="s">
        <v>134</v>
      </c>
      <c r="G43">
        <v>1162000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1162000</v>
      </c>
      <c r="P43">
        <v>0</v>
      </c>
      <c r="Q43">
        <v>0</v>
      </c>
      <c r="R43">
        <v>115</v>
      </c>
      <c r="S43">
        <v>3250</v>
      </c>
      <c r="T43">
        <v>0</v>
      </c>
      <c r="U43">
        <v>0</v>
      </c>
      <c r="V43">
        <v>115</v>
      </c>
      <c r="W43">
        <v>3250</v>
      </c>
      <c r="X43">
        <v>0</v>
      </c>
      <c r="Y43">
        <v>0</v>
      </c>
      <c r="Z43">
        <v>0</v>
      </c>
      <c r="AA43">
        <v>0</v>
      </c>
      <c r="AB43" s="1">
        <v>0</v>
      </c>
      <c r="AC43" s="2">
        <v>7015</v>
      </c>
      <c r="AD43" s="3">
        <v>0</v>
      </c>
      <c r="AF43">
        <v>7015</v>
      </c>
      <c r="AH43" s="4">
        <v>7015</v>
      </c>
    </row>
    <row r="44" spans="1:34">
      <c r="A44">
        <v>31</v>
      </c>
      <c r="B44" t="s">
        <v>98</v>
      </c>
      <c r="C44" t="s">
        <v>106</v>
      </c>
      <c r="D44" t="s">
        <v>107</v>
      </c>
      <c r="E44" s="14" t="s">
        <v>135</v>
      </c>
      <c r="F44" t="s">
        <v>136</v>
      </c>
      <c r="G44">
        <v>72000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72000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">
        <v>0</v>
      </c>
      <c r="AC44" s="2">
        <v>0</v>
      </c>
      <c r="AD44" s="3">
        <v>0</v>
      </c>
      <c r="AF44">
        <v>0</v>
      </c>
      <c r="AH44" s="4">
        <v>0</v>
      </c>
    </row>
    <row r="45" spans="1:34">
      <c r="A45">
        <v>32</v>
      </c>
      <c r="B45" t="s">
        <v>52</v>
      </c>
      <c r="C45" t="s">
        <v>87</v>
      </c>
      <c r="D45" t="s">
        <v>137</v>
      </c>
      <c r="E45" s="14" t="s">
        <v>138</v>
      </c>
      <c r="F45" t="s">
        <v>139</v>
      </c>
      <c r="G45">
        <v>-10000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-10000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">
        <v>0</v>
      </c>
      <c r="AC45" s="2">
        <v>0</v>
      </c>
      <c r="AD45" s="3">
        <v>0</v>
      </c>
      <c r="AF45">
        <v>0</v>
      </c>
      <c r="AH45" s="4">
        <v>0</v>
      </c>
    </row>
    <row r="46" spans="1:34">
      <c r="A46">
        <v>33</v>
      </c>
      <c r="B46" t="s">
        <v>98</v>
      </c>
      <c r="C46" t="s">
        <v>106</v>
      </c>
      <c r="D46" t="s">
        <v>107</v>
      </c>
      <c r="E46" s="14" t="s">
        <v>140</v>
      </c>
      <c r="F46" t="s">
        <v>141</v>
      </c>
      <c r="G46">
        <v>66104</v>
      </c>
      <c r="H46">
        <v>52</v>
      </c>
      <c r="I46">
        <v>0</v>
      </c>
      <c r="J46">
        <v>0</v>
      </c>
      <c r="K46">
        <v>52</v>
      </c>
      <c r="L46">
        <v>286000</v>
      </c>
      <c r="M46">
        <v>30000</v>
      </c>
      <c r="N46">
        <v>322104</v>
      </c>
      <c r="P46">
        <v>10</v>
      </c>
      <c r="Q46">
        <v>336</v>
      </c>
      <c r="R46">
        <v>0</v>
      </c>
      <c r="S46">
        <v>0</v>
      </c>
      <c r="T46">
        <v>0</v>
      </c>
      <c r="U46">
        <v>0</v>
      </c>
      <c r="V46">
        <v>10</v>
      </c>
      <c r="W46">
        <v>336</v>
      </c>
      <c r="X46">
        <v>1258.4</v>
      </c>
      <c r="Y46">
        <v>0</v>
      </c>
      <c r="Z46">
        <v>0</v>
      </c>
      <c r="AA46">
        <v>1258.4</v>
      </c>
      <c r="AB46" s="1">
        <v>216</v>
      </c>
      <c r="AC46" s="2">
        <v>0</v>
      </c>
      <c r="AD46" s="3">
        <v>0</v>
      </c>
      <c r="AF46">
        <v>216</v>
      </c>
      <c r="AH46" s="4">
        <v>-1042.4</v>
      </c>
    </row>
    <row r="47" spans="1:34">
      <c r="A47">
        <v>34</v>
      </c>
      <c r="B47" t="s">
        <v>98</v>
      </c>
      <c r="C47" t="s">
        <v>106</v>
      </c>
      <c r="D47" t="s">
        <v>107</v>
      </c>
      <c r="E47" s="14" t="s">
        <v>142</v>
      </c>
      <c r="F47" t="s">
        <v>143</v>
      </c>
      <c r="G47">
        <v>164500</v>
      </c>
      <c r="H47">
        <v>50</v>
      </c>
      <c r="I47">
        <v>0</v>
      </c>
      <c r="J47">
        <v>0</v>
      </c>
      <c r="K47">
        <v>50</v>
      </c>
      <c r="L47">
        <v>275000</v>
      </c>
      <c r="M47">
        <v>0</v>
      </c>
      <c r="N47">
        <v>439500</v>
      </c>
      <c r="P47">
        <v>77</v>
      </c>
      <c r="Q47">
        <v>2587.2</v>
      </c>
      <c r="R47">
        <v>0</v>
      </c>
      <c r="S47">
        <v>0</v>
      </c>
      <c r="T47">
        <v>0</v>
      </c>
      <c r="U47">
        <v>0</v>
      </c>
      <c r="V47">
        <v>77</v>
      </c>
      <c r="W47">
        <v>2587.2</v>
      </c>
      <c r="X47">
        <v>1210</v>
      </c>
      <c r="Y47">
        <v>0</v>
      </c>
      <c r="Z47">
        <v>0</v>
      </c>
      <c r="AA47">
        <v>1210</v>
      </c>
      <c r="AB47" s="1">
        <v>1663.2</v>
      </c>
      <c r="AC47" s="2">
        <v>0</v>
      </c>
      <c r="AD47" s="3">
        <v>0</v>
      </c>
      <c r="AF47">
        <v>1663.2</v>
      </c>
      <c r="AH47" s="4">
        <v>453.2</v>
      </c>
    </row>
    <row r="48" spans="1:34">
      <c r="A48">
        <v>35</v>
      </c>
      <c r="B48" t="s">
        <v>98</v>
      </c>
      <c r="C48" t="s">
        <v>106</v>
      </c>
      <c r="D48" t="s">
        <v>107</v>
      </c>
      <c r="E48" s="14" t="s">
        <v>144</v>
      </c>
      <c r="F48" t="s">
        <v>145</v>
      </c>
      <c r="G48">
        <v>46700</v>
      </c>
      <c r="H48">
        <v>41</v>
      </c>
      <c r="I48">
        <v>0</v>
      </c>
      <c r="J48">
        <v>0</v>
      </c>
      <c r="K48">
        <v>41</v>
      </c>
      <c r="L48">
        <v>230700</v>
      </c>
      <c r="M48">
        <v>86900</v>
      </c>
      <c r="N48">
        <v>190500</v>
      </c>
      <c r="P48">
        <v>25</v>
      </c>
      <c r="Q48">
        <v>840</v>
      </c>
      <c r="R48">
        <v>0</v>
      </c>
      <c r="S48">
        <v>0</v>
      </c>
      <c r="T48">
        <v>0</v>
      </c>
      <c r="U48">
        <v>0</v>
      </c>
      <c r="V48">
        <v>25</v>
      </c>
      <c r="W48">
        <v>840</v>
      </c>
      <c r="X48">
        <v>992.2</v>
      </c>
      <c r="Y48">
        <v>0</v>
      </c>
      <c r="Z48">
        <v>0</v>
      </c>
      <c r="AA48">
        <v>992.2</v>
      </c>
      <c r="AB48" s="1">
        <v>540</v>
      </c>
      <c r="AC48" s="2">
        <v>0</v>
      </c>
      <c r="AD48" s="3">
        <v>0</v>
      </c>
      <c r="AF48">
        <v>540</v>
      </c>
      <c r="AH48" s="4">
        <v>-452.2</v>
      </c>
    </row>
    <row r="49" spans="1:34">
      <c r="A49">
        <v>36</v>
      </c>
      <c r="B49" t="s">
        <v>52</v>
      </c>
      <c r="C49" t="s">
        <v>74</v>
      </c>
      <c r="D49" t="s">
        <v>82</v>
      </c>
      <c r="E49" s="14" t="s">
        <v>146</v>
      </c>
      <c r="F49" t="s">
        <v>147</v>
      </c>
      <c r="G49">
        <v>947700</v>
      </c>
      <c r="H49">
        <v>135</v>
      </c>
      <c r="I49">
        <v>140</v>
      </c>
      <c r="J49">
        <v>0</v>
      </c>
      <c r="K49">
        <v>275</v>
      </c>
      <c r="L49">
        <v>1372500</v>
      </c>
      <c r="M49">
        <v>840000</v>
      </c>
      <c r="N49">
        <v>1480200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3267</v>
      </c>
      <c r="Y49">
        <v>2688</v>
      </c>
      <c r="Z49">
        <v>0</v>
      </c>
      <c r="AA49">
        <v>5955</v>
      </c>
      <c r="AB49" s="1">
        <v>0</v>
      </c>
      <c r="AC49" s="2">
        <v>0</v>
      </c>
      <c r="AD49" s="3">
        <v>0</v>
      </c>
      <c r="AF49">
        <v>0</v>
      </c>
      <c r="AH49" s="4">
        <v>-5955</v>
      </c>
    </row>
    <row r="50" spans="1:34">
      <c r="A50">
        <v>37</v>
      </c>
      <c r="B50" t="s">
        <v>52</v>
      </c>
      <c r="C50" t="s">
        <v>68</v>
      </c>
      <c r="D50" t="s">
        <v>69</v>
      </c>
      <c r="E50" s="14" t="s">
        <v>148</v>
      </c>
      <c r="F50" t="s">
        <v>149</v>
      </c>
      <c r="G50">
        <v>192280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192280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s="1">
        <v>0</v>
      </c>
      <c r="AC50" s="2">
        <v>0</v>
      </c>
      <c r="AD50" s="3">
        <v>0</v>
      </c>
      <c r="AF50">
        <v>0</v>
      </c>
      <c r="AH50" s="4">
        <v>0</v>
      </c>
    </row>
    <row r="51" spans="1:34">
      <c r="A51">
        <v>38</v>
      </c>
      <c r="B51" t="s">
        <v>98</v>
      </c>
      <c r="C51" t="s">
        <v>106</v>
      </c>
      <c r="D51" t="s">
        <v>112</v>
      </c>
      <c r="E51" s="14" t="s">
        <v>150</v>
      </c>
      <c r="F51" t="s">
        <v>151</v>
      </c>
      <c r="G51">
        <v>91130</v>
      </c>
      <c r="H51">
        <v>29</v>
      </c>
      <c r="I51">
        <v>0</v>
      </c>
      <c r="J51">
        <v>0</v>
      </c>
      <c r="K51">
        <v>29</v>
      </c>
      <c r="L51">
        <v>159500</v>
      </c>
      <c r="M51">
        <v>164850</v>
      </c>
      <c r="N51">
        <v>85780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701.8</v>
      </c>
      <c r="Y51">
        <v>0</v>
      </c>
      <c r="Z51">
        <v>0</v>
      </c>
      <c r="AA51">
        <v>701.8</v>
      </c>
      <c r="AB51" s="1">
        <v>0</v>
      </c>
      <c r="AC51" s="2">
        <v>0</v>
      </c>
      <c r="AD51" s="3">
        <v>0</v>
      </c>
      <c r="AF51">
        <v>0</v>
      </c>
      <c r="AH51" s="4">
        <v>-701.8</v>
      </c>
    </row>
    <row r="52" spans="1:34">
      <c r="A52">
        <v>39</v>
      </c>
      <c r="B52" t="s">
        <v>98</v>
      </c>
      <c r="C52" t="s">
        <v>106</v>
      </c>
      <c r="D52" t="s">
        <v>107</v>
      </c>
      <c r="E52" s="14" t="s">
        <v>152</v>
      </c>
      <c r="F52" t="s">
        <v>153</v>
      </c>
      <c r="G52">
        <v>12000</v>
      </c>
      <c r="H52">
        <v>5</v>
      </c>
      <c r="I52">
        <v>0</v>
      </c>
      <c r="J52">
        <v>0</v>
      </c>
      <c r="K52">
        <v>5</v>
      </c>
      <c r="L52">
        <v>27500</v>
      </c>
      <c r="M52">
        <v>0</v>
      </c>
      <c r="N52">
        <v>39500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121</v>
      </c>
      <c r="Y52">
        <v>0</v>
      </c>
      <c r="Z52">
        <v>0</v>
      </c>
      <c r="AA52">
        <v>121</v>
      </c>
      <c r="AB52" s="1">
        <v>0</v>
      </c>
      <c r="AC52" s="2">
        <v>0</v>
      </c>
      <c r="AD52" s="3">
        <v>0</v>
      </c>
      <c r="AF52">
        <v>0</v>
      </c>
      <c r="AH52" s="4">
        <v>-121</v>
      </c>
    </row>
    <row r="53" spans="1:34">
      <c r="A53">
        <v>40</v>
      </c>
      <c r="B53" t="s">
        <v>98</v>
      </c>
      <c r="C53" t="s">
        <v>127</v>
      </c>
      <c r="D53" t="s">
        <v>128</v>
      </c>
      <c r="E53" s="14" t="s">
        <v>154</v>
      </c>
      <c r="F53" t="s">
        <v>155</v>
      </c>
      <c r="G53">
        <v>26300</v>
      </c>
      <c r="H53">
        <v>15</v>
      </c>
      <c r="I53">
        <v>0</v>
      </c>
      <c r="J53">
        <v>0</v>
      </c>
      <c r="K53">
        <v>15</v>
      </c>
      <c r="L53">
        <v>82500</v>
      </c>
      <c r="M53">
        <v>0</v>
      </c>
      <c r="N53">
        <v>108800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363</v>
      </c>
      <c r="Y53">
        <v>0</v>
      </c>
      <c r="Z53">
        <v>0</v>
      </c>
      <c r="AA53">
        <v>363</v>
      </c>
      <c r="AB53" s="1">
        <v>0</v>
      </c>
      <c r="AC53" s="2">
        <v>0</v>
      </c>
      <c r="AD53" s="3">
        <v>0</v>
      </c>
      <c r="AF53">
        <v>0</v>
      </c>
      <c r="AH53" s="4">
        <v>-363</v>
      </c>
    </row>
    <row r="54" spans="1:34">
      <c r="A54">
        <v>41</v>
      </c>
      <c r="B54" t="s">
        <v>98</v>
      </c>
      <c r="C54" t="s">
        <v>156</v>
      </c>
      <c r="D54" t="s">
        <v>157</v>
      </c>
      <c r="E54" s="14" t="s">
        <v>158</v>
      </c>
      <c r="F54" t="s">
        <v>159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1">
        <v>0</v>
      </c>
      <c r="AC54" s="2">
        <v>0</v>
      </c>
      <c r="AD54" s="3">
        <v>0</v>
      </c>
      <c r="AF54">
        <v>0</v>
      </c>
      <c r="AH54" s="4">
        <v>0</v>
      </c>
    </row>
    <row r="55" spans="1:34">
      <c r="A55">
        <v>42</v>
      </c>
      <c r="B55" t="s">
        <v>98</v>
      </c>
      <c r="C55" t="s">
        <v>99</v>
      </c>
      <c r="D55" t="s">
        <v>100</v>
      </c>
      <c r="E55" s="14" t="s">
        <v>160</v>
      </c>
      <c r="F55" t="s">
        <v>161</v>
      </c>
      <c r="G55">
        <v>4298700</v>
      </c>
      <c r="H55">
        <v>293</v>
      </c>
      <c r="I55">
        <v>84</v>
      </c>
      <c r="J55">
        <v>0</v>
      </c>
      <c r="K55">
        <v>377</v>
      </c>
      <c r="L55">
        <v>1875500</v>
      </c>
      <c r="M55">
        <v>3000000</v>
      </c>
      <c r="N55">
        <v>3174200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7090.6</v>
      </c>
      <c r="Y55">
        <v>1612.8</v>
      </c>
      <c r="Z55">
        <v>0</v>
      </c>
      <c r="AA55">
        <v>8703.4</v>
      </c>
      <c r="AB55" s="1">
        <v>0</v>
      </c>
      <c r="AC55" s="2">
        <v>0</v>
      </c>
      <c r="AD55" s="3">
        <v>0</v>
      </c>
      <c r="AF55">
        <v>0</v>
      </c>
      <c r="AH55" s="4">
        <v>-8703.4</v>
      </c>
    </row>
    <row r="56" spans="1:34">
      <c r="A56">
        <v>43</v>
      </c>
      <c r="B56" t="s">
        <v>52</v>
      </c>
      <c r="C56" t="s">
        <v>68</v>
      </c>
      <c r="D56" t="s">
        <v>69</v>
      </c>
      <c r="E56" s="14" t="s">
        <v>162</v>
      </c>
      <c r="F56" t="s">
        <v>163</v>
      </c>
      <c r="G56">
        <v>320200</v>
      </c>
      <c r="H56">
        <v>44</v>
      </c>
      <c r="I56">
        <v>0</v>
      </c>
      <c r="J56">
        <v>0</v>
      </c>
      <c r="K56">
        <v>44</v>
      </c>
      <c r="L56">
        <v>242000</v>
      </c>
      <c r="M56">
        <v>442000</v>
      </c>
      <c r="N56">
        <v>120200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1064.8</v>
      </c>
      <c r="Y56">
        <v>0</v>
      </c>
      <c r="Z56">
        <v>0</v>
      </c>
      <c r="AA56">
        <v>1064.8</v>
      </c>
      <c r="AB56" s="1">
        <v>0</v>
      </c>
      <c r="AC56" s="2">
        <v>0</v>
      </c>
      <c r="AD56" s="3">
        <v>0</v>
      </c>
      <c r="AF56">
        <v>0</v>
      </c>
      <c r="AH56" s="4">
        <v>-1064.8</v>
      </c>
    </row>
    <row r="57" spans="1:34">
      <c r="A57">
        <v>44</v>
      </c>
      <c r="B57" t="s">
        <v>52</v>
      </c>
      <c r="C57" t="s">
        <v>53</v>
      </c>
      <c r="D57" t="s">
        <v>54</v>
      </c>
      <c r="E57" s="14" t="s">
        <v>164</v>
      </c>
      <c r="F57" t="s">
        <v>165</v>
      </c>
      <c r="G57">
        <v>471273</v>
      </c>
      <c r="H57">
        <v>95</v>
      </c>
      <c r="I57">
        <v>76</v>
      </c>
      <c r="J57">
        <v>0</v>
      </c>
      <c r="K57">
        <v>171</v>
      </c>
      <c r="L57">
        <v>893300</v>
      </c>
      <c r="M57">
        <v>500000</v>
      </c>
      <c r="N57">
        <v>864573</v>
      </c>
      <c r="P57">
        <v>45</v>
      </c>
      <c r="Q57">
        <v>1512</v>
      </c>
      <c r="R57">
        <v>106</v>
      </c>
      <c r="S57">
        <v>3048</v>
      </c>
      <c r="T57">
        <v>172</v>
      </c>
      <c r="U57">
        <v>4320.4</v>
      </c>
      <c r="V57">
        <v>323</v>
      </c>
      <c r="W57">
        <v>8880.4</v>
      </c>
      <c r="X57">
        <v>2299</v>
      </c>
      <c r="Y57">
        <v>1459.2</v>
      </c>
      <c r="Z57">
        <v>0</v>
      </c>
      <c r="AA57">
        <v>3758.2</v>
      </c>
      <c r="AB57" s="1">
        <v>972</v>
      </c>
      <c r="AC57" s="2">
        <v>6466</v>
      </c>
      <c r="AD57" s="3">
        <v>10406</v>
      </c>
      <c r="AF57">
        <v>17844</v>
      </c>
      <c r="AH57" s="4">
        <v>14085.8</v>
      </c>
    </row>
    <row r="58" spans="1:34">
      <c r="A58">
        <v>45</v>
      </c>
      <c r="B58" t="s">
        <v>52</v>
      </c>
      <c r="C58" t="s">
        <v>74</v>
      </c>
      <c r="D58" t="s">
        <v>82</v>
      </c>
      <c r="E58" s="14" t="s">
        <v>166</v>
      </c>
      <c r="F58" t="s">
        <v>167</v>
      </c>
      <c r="G58">
        <v>535700</v>
      </c>
      <c r="H58">
        <v>20</v>
      </c>
      <c r="I58">
        <v>20</v>
      </c>
      <c r="J58">
        <v>0</v>
      </c>
      <c r="K58">
        <v>40</v>
      </c>
      <c r="L58">
        <v>200000</v>
      </c>
      <c r="M58">
        <v>0</v>
      </c>
      <c r="N58">
        <v>735700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484</v>
      </c>
      <c r="Y58">
        <v>384</v>
      </c>
      <c r="Z58">
        <v>0</v>
      </c>
      <c r="AA58">
        <v>868</v>
      </c>
      <c r="AB58" s="1">
        <v>0</v>
      </c>
      <c r="AC58" s="2">
        <v>0</v>
      </c>
      <c r="AD58" s="3">
        <v>0</v>
      </c>
      <c r="AF58">
        <v>0</v>
      </c>
      <c r="AH58" s="4">
        <v>-868</v>
      </c>
    </row>
    <row r="59" spans="1:34">
      <c r="A59">
        <v>46</v>
      </c>
      <c r="B59" t="s">
        <v>98</v>
      </c>
      <c r="C59" t="s">
        <v>127</v>
      </c>
      <c r="D59" t="s">
        <v>128</v>
      </c>
      <c r="E59" s="14" t="s">
        <v>168</v>
      </c>
      <c r="F59" t="s">
        <v>169</v>
      </c>
      <c r="G59">
        <v>157000</v>
      </c>
      <c r="H59">
        <v>45</v>
      </c>
      <c r="I59">
        <v>0</v>
      </c>
      <c r="J59">
        <v>0</v>
      </c>
      <c r="K59">
        <v>45</v>
      </c>
      <c r="L59">
        <v>247500</v>
      </c>
      <c r="M59">
        <v>125000</v>
      </c>
      <c r="N59">
        <v>279500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1089</v>
      </c>
      <c r="Y59">
        <v>0</v>
      </c>
      <c r="Z59">
        <v>0</v>
      </c>
      <c r="AA59">
        <v>1089</v>
      </c>
      <c r="AB59" s="1">
        <v>0</v>
      </c>
      <c r="AC59" s="2">
        <v>0</v>
      </c>
      <c r="AD59" s="3">
        <v>0</v>
      </c>
      <c r="AF59">
        <v>0</v>
      </c>
      <c r="AH59" s="4">
        <v>-1089</v>
      </c>
    </row>
    <row r="60" spans="1:34">
      <c r="A60">
        <v>47</v>
      </c>
      <c r="B60" t="s">
        <v>52</v>
      </c>
      <c r="C60" t="s">
        <v>53</v>
      </c>
      <c r="D60" t="s">
        <v>54</v>
      </c>
      <c r="E60" s="14" t="s">
        <v>170</v>
      </c>
      <c r="F60" t="s">
        <v>171</v>
      </c>
      <c r="G60">
        <v>55150</v>
      </c>
      <c r="H60">
        <v>80</v>
      </c>
      <c r="I60">
        <v>8</v>
      </c>
      <c r="J60">
        <v>0</v>
      </c>
      <c r="K60">
        <v>88</v>
      </c>
      <c r="L60">
        <v>476000</v>
      </c>
      <c r="M60">
        <v>325000</v>
      </c>
      <c r="N60">
        <v>206150</v>
      </c>
      <c r="P60">
        <v>5</v>
      </c>
      <c r="Q60">
        <v>168</v>
      </c>
      <c r="R60">
        <v>64</v>
      </c>
      <c r="S60">
        <v>1818.8</v>
      </c>
      <c r="T60">
        <v>0</v>
      </c>
      <c r="U60">
        <v>0</v>
      </c>
      <c r="V60">
        <v>69</v>
      </c>
      <c r="W60">
        <v>1986.8</v>
      </c>
      <c r="X60">
        <v>1936</v>
      </c>
      <c r="Y60">
        <v>153.6</v>
      </c>
      <c r="Z60">
        <v>0</v>
      </c>
      <c r="AA60">
        <v>2089.6</v>
      </c>
      <c r="AB60" s="1">
        <v>108</v>
      </c>
      <c r="AC60" s="2">
        <v>3904</v>
      </c>
      <c r="AD60" s="3">
        <v>0</v>
      </c>
      <c r="AF60">
        <v>4012</v>
      </c>
      <c r="AH60" s="4">
        <v>1922.4</v>
      </c>
    </row>
    <row r="61" spans="1:34">
      <c r="A61">
        <v>48</v>
      </c>
      <c r="B61" t="s">
        <v>98</v>
      </c>
      <c r="C61" t="s">
        <v>99</v>
      </c>
      <c r="D61" t="s">
        <v>100</v>
      </c>
      <c r="E61" s="14" t="s">
        <v>172</v>
      </c>
      <c r="F61" t="s">
        <v>173</v>
      </c>
      <c r="G61">
        <v>122000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122000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">
        <v>0</v>
      </c>
      <c r="AC61" s="2">
        <v>0</v>
      </c>
      <c r="AD61" s="3">
        <v>0</v>
      </c>
      <c r="AF61">
        <v>0</v>
      </c>
      <c r="AH61" s="4">
        <v>0</v>
      </c>
    </row>
    <row r="62" spans="1:34">
      <c r="A62">
        <v>49</v>
      </c>
      <c r="B62" t="s">
        <v>98</v>
      </c>
      <c r="C62" t="s">
        <v>106</v>
      </c>
      <c r="D62" t="s">
        <v>112</v>
      </c>
      <c r="E62" s="14" t="s">
        <v>174</v>
      </c>
      <c r="F62" t="s">
        <v>175</v>
      </c>
      <c r="G62">
        <v>25940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25940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">
        <v>0</v>
      </c>
      <c r="AC62" s="2">
        <v>0</v>
      </c>
      <c r="AD62" s="3">
        <v>0</v>
      </c>
      <c r="AF62">
        <v>0</v>
      </c>
      <c r="AH62" s="4">
        <v>0</v>
      </c>
    </row>
    <row r="63" spans="1:34">
      <c r="A63">
        <v>50</v>
      </c>
      <c r="B63" t="s">
        <v>98</v>
      </c>
      <c r="C63" t="s">
        <v>99</v>
      </c>
      <c r="D63" t="s">
        <v>100</v>
      </c>
      <c r="E63" s="14" t="s">
        <v>176</v>
      </c>
      <c r="F63" t="s">
        <v>177</v>
      </c>
      <c r="G63">
        <v>1302290</v>
      </c>
      <c r="H63">
        <v>70</v>
      </c>
      <c r="I63">
        <v>0</v>
      </c>
      <c r="J63">
        <v>0</v>
      </c>
      <c r="K63">
        <v>70</v>
      </c>
      <c r="L63">
        <v>385000</v>
      </c>
      <c r="M63">
        <v>400000</v>
      </c>
      <c r="N63">
        <v>1287290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1694</v>
      </c>
      <c r="Y63">
        <v>0</v>
      </c>
      <c r="Z63">
        <v>0</v>
      </c>
      <c r="AA63">
        <v>1694</v>
      </c>
      <c r="AB63" s="1">
        <v>0</v>
      </c>
      <c r="AC63" s="2">
        <v>0</v>
      </c>
      <c r="AD63" s="3">
        <v>0</v>
      </c>
      <c r="AF63">
        <v>0</v>
      </c>
      <c r="AH63" s="4">
        <v>-1694</v>
      </c>
    </row>
    <row r="64" spans="1:34">
      <c r="A64">
        <v>51</v>
      </c>
      <c r="B64" t="s">
        <v>98</v>
      </c>
      <c r="C64" t="s">
        <v>156</v>
      </c>
      <c r="D64" t="s">
        <v>157</v>
      </c>
      <c r="E64" s="14" t="s">
        <v>178</v>
      </c>
      <c r="F64" t="s">
        <v>179</v>
      </c>
      <c r="G64">
        <v>22000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22000</v>
      </c>
      <c r="P64">
        <v>34</v>
      </c>
      <c r="Q64">
        <v>1142.4</v>
      </c>
      <c r="R64">
        <v>0</v>
      </c>
      <c r="S64">
        <v>0</v>
      </c>
      <c r="T64">
        <v>0</v>
      </c>
      <c r="U64">
        <v>0</v>
      </c>
      <c r="V64">
        <v>34</v>
      </c>
      <c r="W64">
        <v>1142.4</v>
      </c>
      <c r="X64">
        <v>0</v>
      </c>
      <c r="Y64">
        <v>0</v>
      </c>
      <c r="Z64">
        <v>0</v>
      </c>
      <c r="AA64">
        <v>0</v>
      </c>
      <c r="AB64" s="1">
        <v>734.4</v>
      </c>
      <c r="AC64" s="2">
        <v>0</v>
      </c>
      <c r="AD64" s="3">
        <v>0</v>
      </c>
      <c r="AF64">
        <v>734.4</v>
      </c>
      <c r="AH64" s="4">
        <v>734.4</v>
      </c>
    </row>
    <row r="65" spans="1:34">
      <c r="A65">
        <v>52</v>
      </c>
      <c r="B65" t="s">
        <v>98</v>
      </c>
      <c r="C65" t="s">
        <v>180</v>
      </c>
      <c r="D65" t="s">
        <v>181</v>
      </c>
      <c r="E65" s="14" t="s">
        <v>182</v>
      </c>
      <c r="F65" t="s">
        <v>183</v>
      </c>
      <c r="G65">
        <v>11800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11800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s="1">
        <v>0</v>
      </c>
      <c r="AC65" s="2">
        <v>0</v>
      </c>
      <c r="AD65" s="3">
        <v>0</v>
      </c>
      <c r="AF65">
        <v>0</v>
      </c>
      <c r="AH65" s="4">
        <v>0</v>
      </c>
    </row>
    <row r="66" spans="1:34">
      <c r="A66">
        <v>53</v>
      </c>
      <c r="B66" t="s">
        <v>98</v>
      </c>
      <c r="C66" t="s">
        <v>180</v>
      </c>
      <c r="D66" t="s">
        <v>184</v>
      </c>
      <c r="E66" s="14" t="s">
        <v>185</v>
      </c>
      <c r="F66" t="s">
        <v>186</v>
      </c>
      <c r="G66">
        <v>44506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44506</v>
      </c>
      <c r="P66">
        <v>28</v>
      </c>
      <c r="Q66">
        <v>940.8</v>
      </c>
      <c r="R66">
        <v>0</v>
      </c>
      <c r="S66">
        <v>0</v>
      </c>
      <c r="T66">
        <v>0</v>
      </c>
      <c r="U66">
        <v>0</v>
      </c>
      <c r="V66">
        <v>28</v>
      </c>
      <c r="W66">
        <v>940.8</v>
      </c>
      <c r="X66">
        <v>0</v>
      </c>
      <c r="Y66">
        <v>0</v>
      </c>
      <c r="Z66">
        <v>0</v>
      </c>
      <c r="AA66">
        <v>0</v>
      </c>
      <c r="AB66" s="1">
        <v>604.8</v>
      </c>
      <c r="AC66" s="2">
        <v>0</v>
      </c>
      <c r="AD66" s="3">
        <v>0</v>
      </c>
      <c r="AF66">
        <v>604.8</v>
      </c>
      <c r="AH66" s="4">
        <v>604.8</v>
      </c>
    </row>
    <row r="67" spans="1:34">
      <c r="A67">
        <v>54</v>
      </c>
      <c r="B67" t="s">
        <v>98</v>
      </c>
      <c r="C67" t="s">
        <v>180</v>
      </c>
      <c r="D67" t="s">
        <v>181</v>
      </c>
      <c r="E67" s="14" t="s">
        <v>187</v>
      </c>
      <c r="F67" t="s">
        <v>188</v>
      </c>
      <c r="G67">
        <v>845712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845712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s="1">
        <v>0</v>
      </c>
      <c r="AC67" s="2">
        <v>0</v>
      </c>
      <c r="AD67" s="3">
        <v>0</v>
      </c>
      <c r="AF67">
        <v>0</v>
      </c>
      <c r="AH67" s="4">
        <v>0</v>
      </c>
    </row>
    <row r="68" spans="1:34">
      <c r="A68">
        <v>55</v>
      </c>
      <c r="B68" t="s">
        <v>98</v>
      </c>
      <c r="C68" t="s">
        <v>127</v>
      </c>
      <c r="D68" t="s">
        <v>128</v>
      </c>
      <c r="E68" s="14" t="s">
        <v>189</v>
      </c>
      <c r="F68" t="s">
        <v>190</v>
      </c>
      <c r="G68">
        <v>-6000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-6000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s="1">
        <v>0</v>
      </c>
      <c r="AC68" s="2">
        <v>0</v>
      </c>
      <c r="AD68" s="3">
        <v>0</v>
      </c>
      <c r="AF68">
        <v>0</v>
      </c>
      <c r="AH68" s="4">
        <v>0</v>
      </c>
    </row>
    <row r="69" spans="1:34">
      <c r="A69">
        <v>56</v>
      </c>
      <c r="B69" t="s">
        <v>98</v>
      </c>
      <c r="C69" t="s">
        <v>106</v>
      </c>
      <c r="D69" t="s">
        <v>112</v>
      </c>
      <c r="E69" s="14" t="s">
        <v>191</v>
      </c>
      <c r="F69" t="s">
        <v>192</v>
      </c>
      <c r="G69">
        <v>14400</v>
      </c>
      <c r="H69">
        <v>15</v>
      </c>
      <c r="I69">
        <v>0</v>
      </c>
      <c r="J69">
        <v>0</v>
      </c>
      <c r="K69">
        <v>15</v>
      </c>
      <c r="L69">
        <v>82500</v>
      </c>
      <c r="M69">
        <v>0</v>
      </c>
      <c r="N69">
        <v>96900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363</v>
      </c>
      <c r="Y69">
        <v>0</v>
      </c>
      <c r="Z69">
        <v>0</v>
      </c>
      <c r="AA69">
        <v>363</v>
      </c>
      <c r="AB69" s="1">
        <v>0</v>
      </c>
      <c r="AC69" s="2">
        <v>0</v>
      </c>
      <c r="AD69" s="3">
        <v>0</v>
      </c>
      <c r="AF69">
        <v>0</v>
      </c>
      <c r="AH69" s="4">
        <v>-363</v>
      </c>
    </row>
    <row r="70" spans="1:34">
      <c r="A70">
        <v>57</v>
      </c>
      <c r="B70" t="s">
        <v>98</v>
      </c>
      <c r="C70" t="s">
        <v>156</v>
      </c>
      <c r="D70" t="s">
        <v>157</v>
      </c>
      <c r="E70" s="14" t="s">
        <v>193</v>
      </c>
      <c r="F70" t="s">
        <v>194</v>
      </c>
      <c r="G70">
        <v>25700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25700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">
        <v>0</v>
      </c>
      <c r="AC70" s="2">
        <v>0</v>
      </c>
      <c r="AD70" s="3">
        <v>0</v>
      </c>
      <c r="AF70">
        <v>0</v>
      </c>
      <c r="AH70" s="4">
        <v>0</v>
      </c>
    </row>
    <row r="71" spans="1:34">
      <c r="A71">
        <v>58</v>
      </c>
      <c r="B71" t="s">
        <v>52</v>
      </c>
      <c r="C71" t="s">
        <v>74</v>
      </c>
      <c r="D71" t="s">
        <v>195</v>
      </c>
      <c r="E71" s="14" t="s">
        <v>196</v>
      </c>
      <c r="F71" t="s">
        <v>197</v>
      </c>
      <c r="G71">
        <v>93883</v>
      </c>
      <c r="H71">
        <v>35</v>
      </c>
      <c r="I71">
        <v>59</v>
      </c>
      <c r="J71">
        <v>0</v>
      </c>
      <c r="K71">
        <v>94</v>
      </c>
      <c r="L71">
        <v>458000</v>
      </c>
      <c r="M71">
        <v>350904</v>
      </c>
      <c r="N71">
        <v>200979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847</v>
      </c>
      <c r="Y71">
        <v>1132.8</v>
      </c>
      <c r="Z71">
        <v>0</v>
      </c>
      <c r="AA71">
        <v>1979.8</v>
      </c>
      <c r="AB71" s="1">
        <v>0</v>
      </c>
      <c r="AC71" s="2">
        <v>0</v>
      </c>
      <c r="AD71" s="3">
        <v>0</v>
      </c>
      <c r="AF71">
        <v>0</v>
      </c>
      <c r="AH71" s="4">
        <v>-1979.8</v>
      </c>
    </row>
    <row r="72" spans="1:34">
      <c r="A72">
        <v>59</v>
      </c>
      <c r="B72" t="s">
        <v>52</v>
      </c>
      <c r="C72" t="s">
        <v>53</v>
      </c>
      <c r="D72" t="s">
        <v>54</v>
      </c>
      <c r="E72" s="14" t="s">
        <v>198</v>
      </c>
      <c r="F72" t="s">
        <v>199</v>
      </c>
      <c r="G72">
        <v>254674</v>
      </c>
      <c r="H72">
        <v>87</v>
      </c>
      <c r="I72">
        <v>0</v>
      </c>
      <c r="J72">
        <v>0</v>
      </c>
      <c r="K72">
        <v>87</v>
      </c>
      <c r="L72">
        <v>478500</v>
      </c>
      <c r="M72">
        <v>400000</v>
      </c>
      <c r="N72">
        <v>333174</v>
      </c>
      <c r="P72">
        <v>110</v>
      </c>
      <c r="Q72">
        <v>3696</v>
      </c>
      <c r="R72">
        <v>5</v>
      </c>
      <c r="S72">
        <v>141</v>
      </c>
      <c r="T72">
        <v>0</v>
      </c>
      <c r="U72">
        <v>0</v>
      </c>
      <c r="V72">
        <v>115</v>
      </c>
      <c r="W72">
        <v>3837</v>
      </c>
      <c r="X72">
        <v>2105.4</v>
      </c>
      <c r="Y72">
        <v>0</v>
      </c>
      <c r="Z72">
        <v>0</v>
      </c>
      <c r="AA72">
        <v>2105.4</v>
      </c>
      <c r="AB72" s="1">
        <v>2376</v>
      </c>
      <c r="AC72" s="2">
        <v>305</v>
      </c>
      <c r="AD72" s="3">
        <v>0</v>
      </c>
      <c r="AF72">
        <v>2681</v>
      </c>
      <c r="AH72" s="4">
        <v>575.6</v>
      </c>
    </row>
    <row r="73" spans="1:34">
      <c r="A73">
        <v>60</v>
      </c>
      <c r="B73" t="s">
        <v>98</v>
      </c>
      <c r="C73" t="s">
        <v>180</v>
      </c>
      <c r="D73" t="s">
        <v>184</v>
      </c>
      <c r="E73" s="14" t="s">
        <v>200</v>
      </c>
      <c r="F73" t="s">
        <v>201</v>
      </c>
      <c r="G73">
        <v>589500</v>
      </c>
      <c r="H73">
        <v>40</v>
      </c>
      <c r="I73">
        <v>0</v>
      </c>
      <c r="J73">
        <v>0</v>
      </c>
      <c r="K73">
        <v>40</v>
      </c>
      <c r="L73">
        <v>220000</v>
      </c>
      <c r="M73">
        <v>0</v>
      </c>
      <c r="N73">
        <v>809500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968</v>
      </c>
      <c r="Y73">
        <v>0</v>
      </c>
      <c r="Z73">
        <v>0</v>
      </c>
      <c r="AA73">
        <v>968</v>
      </c>
      <c r="AB73" s="1">
        <v>0</v>
      </c>
      <c r="AC73" s="2">
        <v>0</v>
      </c>
      <c r="AD73" s="3">
        <v>0</v>
      </c>
      <c r="AF73">
        <v>0</v>
      </c>
      <c r="AH73" s="4">
        <v>-968</v>
      </c>
    </row>
    <row r="74" spans="1:34">
      <c r="A74">
        <v>61</v>
      </c>
      <c r="B74" t="s">
        <v>52</v>
      </c>
      <c r="C74" t="s">
        <v>68</v>
      </c>
      <c r="D74" t="s">
        <v>69</v>
      </c>
      <c r="E74" s="14" t="s">
        <v>202</v>
      </c>
      <c r="F74" t="s">
        <v>203</v>
      </c>
      <c r="G74">
        <v>44832</v>
      </c>
      <c r="H74">
        <v>162</v>
      </c>
      <c r="I74">
        <v>0</v>
      </c>
      <c r="J74">
        <v>0</v>
      </c>
      <c r="K74">
        <v>162</v>
      </c>
      <c r="L74">
        <v>895000</v>
      </c>
      <c r="M74">
        <v>823522</v>
      </c>
      <c r="N74">
        <v>116310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3920.4</v>
      </c>
      <c r="Y74">
        <v>0</v>
      </c>
      <c r="Z74">
        <v>0</v>
      </c>
      <c r="AA74">
        <v>3920.4</v>
      </c>
      <c r="AB74" s="1">
        <v>0</v>
      </c>
      <c r="AC74" s="2">
        <v>0</v>
      </c>
      <c r="AD74" s="3">
        <v>0</v>
      </c>
      <c r="AF74">
        <v>0</v>
      </c>
      <c r="AH74" s="4">
        <v>-3920.4</v>
      </c>
    </row>
    <row r="75" spans="1:34">
      <c r="A75">
        <v>62</v>
      </c>
      <c r="B75" t="s">
        <v>98</v>
      </c>
      <c r="C75" t="s">
        <v>106</v>
      </c>
      <c r="D75" t="s">
        <v>112</v>
      </c>
      <c r="E75" s="14" t="s">
        <v>204</v>
      </c>
      <c r="F75" t="s">
        <v>205</v>
      </c>
      <c r="G75">
        <v>101000</v>
      </c>
      <c r="H75">
        <v>25</v>
      </c>
      <c r="I75">
        <v>0</v>
      </c>
      <c r="J75">
        <v>0</v>
      </c>
      <c r="K75">
        <v>25</v>
      </c>
      <c r="L75">
        <v>137500</v>
      </c>
      <c r="M75">
        <v>62000</v>
      </c>
      <c r="N75">
        <v>176500</v>
      </c>
      <c r="P75">
        <v>34</v>
      </c>
      <c r="Q75">
        <v>1142.4</v>
      </c>
      <c r="R75">
        <v>0</v>
      </c>
      <c r="S75">
        <v>0</v>
      </c>
      <c r="T75">
        <v>0</v>
      </c>
      <c r="U75">
        <v>0</v>
      </c>
      <c r="V75">
        <v>34</v>
      </c>
      <c r="W75">
        <v>1142.4</v>
      </c>
      <c r="X75">
        <v>605</v>
      </c>
      <c r="Y75">
        <v>0</v>
      </c>
      <c r="Z75">
        <v>0</v>
      </c>
      <c r="AA75">
        <v>605</v>
      </c>
      <c r="AB75" s="1">
        <v>734.4</v>
      </c>
      <c r="AC75" s="2">
        <v>0</v>
      </c>
      <c r="AD75" s="3">
        <v>0</v>
      </c>
      <c r="AF75">
        <v>734.4</v>
      </c>
      <c r="AH75" s="4">
        <v>129.4</v>
      </c>
    </row>
    <row r="76" spans="1:34">
      <c r="A76">
        <v>63</v>
      </c>
      <c r="B76" t="s">
        <v>98</v>
      </c>
      <c r="C76" t="s">
        <v>180</v>
      </c>
      <c r="D76" t="s">
        <v>181</v>
      </c>
      <c r="E76" s="14" t="s">
        <v>206</v>
      </c>
      <c r="F76" t="s">
        <v>207</v>
      </c>
      <c r="G76">
        <v>30000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30000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1">
        <v>0</v>
      </c>
      <c r="AC76" s="2">
        <v>0</v>
      </c>
      <c r="AD76" s="3">
        <v>0</v>
      </c>
      <c r="AF76">
        <v>0</v>
      </c>
      <c r="AH76" s="4">
        <v>0</v>
      </c>
    </row>
    <row r="77" spans="1:34">
      <c r="A77">
        <v>64</v>
      </c>
      <c r="B77" t="s">
        <v>98</v>
      </c>
      <c r="C77" t="s">
        <v>106</v>
      </c>
      <c r="D77" t="s">
        <v>112</v>
      </c>
      <c r="E77" s="14" t="s">
        <v>208</v>
      </c>
      <c r="F77" t="s">
        <v>209</v>
      </c>
      <c r="G77">
        <v>111800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111800</v>
      </c>
      <c r="P77">
        <v>4</v>
      </c>
      <c r="Q77">
        <v>134.4</v>
      </c>
      <c r="R77">
        <v>0</v>
      </c>
      <c r="S77">
        <v>0</v>
      </c>
      <c r="T77">
        <v>0</v>
      </c>
      <c r="U77">
        <v>0</v>
      </c>
      <c r="V77">
        <v>4</v>
      </c>
      <c r="W77">
        <v>134.4</v>
      </c>
      <c r="X77">
        <v>0</v>
      </c>
      <c r="Y77">
        <v>0</v>
      </c>
      <c r="Z77">
        <v>0</v>
      </c>
      <c r="AA77">
        <v>0</v>
      </c>
      <c r="AB77" s="1">
        <v>86.4</v>
      </c>
      <c r="AC77" s="2">
        <v>0</v>
      </c>
      <c r="AD77" s="3">
        <v>0</v>
      </c>
      <c r="AF77">
        <v>86.4</v>
      </c>
      <c r="AH77" s="4">
        <v>86.4</v>
      </c>
    </row>
    <row r="78" spans="1:34">
      <c r="A78">
        <v>65</v>
      </c>
      <c r="B78" t="s">
        <v>52</v>
      </c>
      <c r="C78" t="s">
        <v>53</v>
      </c>
      <c r="D78" t="s">
        <v>54</v>
      </c>
      <c r="E78" s="14" t="s">
        <v>210</v>
      </c>
      <c r="F78" t="s">
        <v>211</v>
      </c>
      <c r="G78">
        <v>253000</v>
      </c>
      <c r="H78">
        <v>150</v>
      </c>
      <c r="I78">
        <v>0</v>
      </c>
      <c r="J78">
        <v>0</v>
      </c>
      <c r="K78">
        <v>150</v>
      </c>
      <c r="L78">
        <v>825000</v>
      </c>
      <c r="M78">
        <v>796800</v>
      </c>
      <c r="N78">
        <v>281200</v>
      </c>
      <c r="P78">
        <v>50</v>
      </c>
      <c r="Q78">
        <v>1680</v>
      </c>
      <c r="R78">
        <v>0</v>
      </c>
      <c r="S78">
        <v>0</v>
      </c>
      <c r="T78">
        <v>0</v>
      </c>
      <c r="U78">
        <v>0</v>
      </c>
      <c r="V78">
        <v>50</v>
      </c>
      <c r="W78">
        <v>1680</v>
      </c>
      <c r="X78">
        <v>3630</v>
      </c>
      <c r="Y78">
        <v>0</v>
      </c>
      <c r="Z78">
        <v>0</v>
      </c>
      <c r="AA78">
        <v>3630</v>
      </c>
      <c r="AB78" s="1">
        <v>1080</v>
      </c>
      <c r="AC78" s="2">
        <v>0</v>
      </c>
      <c r="AD78" s="3">
        <v>0</v>
      </c>
      <c r="AF78">
        <v>1080</v>
      </c>
      <c r="AH78" s="4">
        <v>-2550</v>
      </c>
    </row>
    <row r="79" spans="1:34">
      <c r="A79">
        <v>66</v>
      </c>
      <c r="B79" t="s">
        <v>52</v>
      </c>
      <c r="C79" t="s">
        <v>53</v>
      </c>
      <c r="D79" t="s">
        <v>59</v>
      </c>
      <c r="E79" s="14" t="s">
        <v>212</v>
      </c>
      <c r="F79" t="s">
        <v>213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1">
        <v>0</v>
      </c>
      <c r="AC79" s="2">
        <v>0</v>
      </c>
      <c r="AD79" s="3">
        <v>0</v>
      </c>
      <c r="AF79">
        <v>0</v>
      </c>
      <c r="AH79" s="4">
        <v>0</v>
      </c>
    </row>
    <row r="80" spans="1:34">
      <c r="A80">
        <v>67</v>
      </c>
      <c r="B80" t="s">
        <v>98</v>
      </c>
      <c r="C80" t="s">
        <v>156</v>
      </c>
      <c r="D80" t="s">
        <v>157</v>
      </c>
      <c r="E80" s="14" t="s">
        <v>214</v>
      </c>
      <c r="F80" t="s">
        <v>215</v>
      </c>
      <c r="G80">
        <v>16006</v>
      </c>
      <c r="H80">
        <v>45</v>
      </c>
      <c r="I80">
        <v>0</v>
      </c>
      <c r="J80">
        <v>0</v>
      </c>
      <c r="K80">
        <v>45</v>
      </c>
      <c r="L80">
        <v>247500</v>
      </c>
      <c r="M80">
        <v>255000</v>
      </c>
      <c r="N80">
        <v>8506</v>
      </c>
      <c r="P80">
        <v>48</v>
      </c>
      <c r="Q80">
        <v>1612.8</v>
      </c>
      <c r="R80">
        <v>0</v>
      </c>
      <c r="S80">
        <v>0</v>
      </c>
      <c r="T80">
        <v>0</v>
      </c>
      <c r="U80">
        <v>0</v>
      </c>
      <c r="V80">
        <v>48</v>
      </c>
      <c r="W80">
        <v>1612.8</v>
      </c>
      <c r="X80">
        <v>1089</v>
      </c>
      <c r="Y80">
        <v>0</v>
      </c>
      <c r="Z80">
        <v>0</v>
      </c>
      <c r="AA80">
        <v>1089</v>
      </c>
      <c r="AB80" s="1">
        <v>1036.8</v>
      </c>
      <c r="AC80" s="2">
        <v>0</v>
      </c>
      <c r="AD80" s="3">
        <v>0</v>
      </c>
      <c r="AF80">
        <v>1036.8</v>
      </c>
      <c r="AH80" s="4">
        <v>-52.2</v>
      </c>
    </row>
    <row r="81" spans="1:34">
      <c r="A81">
        <v>68</v>
      </c>
      <c r="B81" t="s">
        <v>98</v>
      </c>
      <c r="C81" t="s">
        <v>156</v>
      </c>
      <c r="D81" t="s">
        <v>157</v>
      </c>
      <c r="E81" s="14" t="s">
        <v>216</v>
      </c>
      <c r="F81" t="s">
        <v>217</v>
      </c>
      <c r="G81">
        <v>73306</v>
      </c>
      <c r="H81">
        <v>65</v>
      </c>
      <c r="I81">
        <v>0</v>
      </c>
      <c r="J81">
        <v>0</v>
      </c>
      <c r="K81">
        <v>65</v>
      </c>
      <c r="L81">
        <v>357500</v>
      </c>
      <c r="M81">
        <v>100000</v>
      </c>
      <c r="N81">
        <v>330806</v>
      </c>
      <c r="P81">
        <v>67</v>
      </c>
      <c r="Q81">
        <v>2251.2</v>
      </c>
      <c r="R81">
        <v>0</v>
      </c>
      <c r="S81">
        <v>0</v>
      </c>
      <c r="T81">
        <v>0</v>
      </c>
      <c r="U81">
        <v>0</v>
      </c>
      <c r="V81">
        <v>67</v>
      </c>
      <c r="W81">
        <v>2251.2</v>
      </c>
      <c r="X81">
        <v>1573</v>
      </c>
      <c r="Y81">
        <v>0</v>
      </c>
      <c r="Z81">
        <v>0</v>
      </c>
      <c r="AA81">
        <v>1573</v>
      </c>
      <c r="AB81" s="1">
        <v>1447.2</v>
      </c>
      <c r="AC81" s="2">
        <v>0</v>
      </c>
      <c r="AD81" s="3">
        <v>0</v>
      </c>
      <c r="AF81">
        <v>1447.2</v>
      </c>
      <c r="AH81" s="4">
        <v>-125.8</v>
      </c>
    </row>
    <row r="82" spans="1:34">
      <c r="A82">
        <v>69</v>
      </c>
      <c r="B82" t="s">
        <v>98</v>
      </c>
      <c r="C82" t="s">
        <v>99</v>
      </c>
      <c r="D82" t="s">
        <v>100</v>
      </c>
      <c r="E82" s="14" t="s">
        <v>218</v>
      </c>
      <c r="F82" t="s">
        <v>219</v>
      </c>
      <c r="G82">
        <v>187000</v>
      </c>
      <c r="H82">
        <v>50</v>
      </c>
      <c r="I82">
        <v>0</v>
      </c>
      <c r="J82">
        <v>0</v>
      </c>
      <c r="K82">
        <v>50</v>
      </c>
      <c r="L82">
        <v>275000</v>
      </c>
      <c r="M82">
        <v>255000</v>
      </c>
      <c r="N82">
        <v>207000</v>
      </c>
      <c r="P82">
        <v>67</v>
      </c>
      <c r="Q82">
        <v>2251.2</v>
      </c>
      <c r="R82">
        <v>0</v>
      </c>
      <c r="S82">
        <v>0</v>
      </c>
      <c r="T82">
        <v>0</v>
      </c>
      <c r="U82">
        <v>0</v>
      </c>
      <c r="V82">
        <v>67</v>
      </c>
      <c r="W82">
        <v>2251.2</v>
      </c>
      <c r="X82">
        <v>1210</v>
      </c>
      <c r="Y82">
        <v>0</v>
      </c>
      <c r="Z82">
        <v>0</v>
      </c>
      <c r="AA82">
        <v>1210</v>
      </c>
      <c r="AB82" s="1">
        <v>1447.2</v>
      </c>
      <c r="AC82" s="2">
        <v>0</v>
      </c>
      <c r="AD82" s="3">
        <v>0</v>
      </c>
      <c r="AF82">
        <v>1447.2</v>
      </c>
      <c r="AH82" s="4">
        <v>237.2</v>
      </c>
    </row>
    <row r="83" spans="1:34">
      <c r="A83">
        <v>70</v>
      </c>
      <c r="B83" t="s">
        <v>98</v>
      </c>
      <c r="C83" t="s">
        <v>156</v>
      </c>
      <c r="D83" t="s">
        <v>157</v>
      </c>
      <c r="E83" s="14" t="s">
        <v>220</v>
      </c>
      <c r="F83" t="s">
        <v>221</v>
      </c>
      <c r="G83">
        <v>335448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335448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2">
        <v>0</v>
      </c>
      <c r="AD83" s="3">
        <v>0</v>
      </c>
      <c r="AF83">
        <v>0</v>
      </c>
      <c r="AH83" s="4">
        <v>0</v>
      </c>
    </row>
    <row r="84" spans="1:34">
      <c r="A84">
        <v>71</v>
      </c>
      <c r="B84" t="s">
        <v>98</v>
      </c>
      <c r="C84" t="s">
        <v>180</v>
      </c>
      <c r="D84" t="s">
        <v>181</v>
      </c>
      <c r="E84" s="14" t="s">
        <v>222</v>
      </c>
      <c r="F84" t="s">
        <v>223</v>
      </c>
      <c r="G84">
        <v>189500</v>
      </c>
      <c r="H84">
        <v>0</v>
      </c>
      <c r="I84">
        <v>0</v>
      </c>
      <c r="J84">
        <v>0</v>
      </c>
      <c r="K84">
        <v>0</v>
      </c>
      <c r="L84">
        <v>0</v>
      </c>
      <c r="M84">
        <v>130000</v>
      </c>
      <c r="N84">
        <v>59500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1">
        <v>0</v>
      </c>
      <c r="AC84" s="2">
        <v>0</v>
      </c>
      <c r="AD84" s="3">
        <v>0</v>
      </c>
      <c r="AF84">
        <v>0</v>
      </c>
      <c r="AH84" s="4">
        <v>0</v>
      </c>
    </row>
    <row r="85" spans="1:34">
      <c r="A85">
        <v>72</v>
      </c>
      <c r="B85" t="s">
        <v>98</v>
      </c>
      <c r="C85" t="s">
        <v>106</v>
      </c>
      <c r="D85" t="s">
        <v>112</v>
      </c>
      <c r="E85" s="14" t="s">
        <v>224</v>
      </c>
      <c r="F85" t="s">
        <v>225</v>
      </c>
      <c r="G85">
        <v>2012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2012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1">
        <v>0</v>
      </c>
      <c r="AC85" s="2">
        <v>0</v>
      </c>
      <c r="AD85" s="3">
        <v>0</v>
      </c>
      <c r="AF85">
        <v>0</v>
      </c>
      <c r="AH85" s="4">
        <v>0</v>
      </c>
    </row>
    <row r="86" spans="1:34">
      <c r="A86">
        <v>73</v>
      </c>
      <c r="B86" t="s">
        <v>98</v>
      </c>
      <c r="C86" t="s">
        <v>99</v>
      </c>
      <c r="D86" t="s">
        <v>103</v>
      </c>
      <c r="E86" s="14" t="s">
        <v>226</v>
      </c>
      <c r="F86" t="s">
        <v>227</v>
      </c>
      <c r="G86">
        <v>-2610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-2610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1">
        <v>0</v>
      </c>
      <c r="AC86" s="2">
        <v>0</v>
      </c>
      <c r="AD86" s="3">
        <v>0</v>
      </c>
      <c r="AF86">
        <v>0</v>
      </c>
      <c r="AH86" s="4">
        <v>0</v>
      </c>
    </row>
    <row r="87" spans="1:34">
      <c r="A87">
        <v>74</v>
      </c>
      <c r="B87" t="s">
        <v>98</v>
      </c>
      <c r="C87" t="s">
        <v>156</v>
      </c>
      <c r="D87" t="s">
        <v>157</v>
      </c>
      <c r="E87" s="14" t="s">
        <v>228</v>
      </c>
      <c r="F87" t="s">
        <v>229</v>
      </c>
      <c r="G87">
        <v>13200</v>
      </c>
      <c r="H87">
        <v>29</v>
      </c>
      <c r="I87">
        <v>0</v>
      </c>
      <c r="J87">
        <v>0</v>
      </c>
      <c r="K87">
        <v>29</v>
      </c>
      <c r="L87">
        <v>159500</v>
      </c>
      <c r="M87">
        <v>78000</v>
      </c>
      <c r="N87">
        <v>94700</v>
      </c>
      <c r="P87">
        <v>23</v>
      </c>
      <c r="Q87">
        <v>772.8</v>
      </c>
      <c r="R87">
        <v>0</v>
      </c>
      <c r="S87">
        <v>0</v>
      </c>
      <c r="T87">
        <v>0</v>
      </c>
      <c r="U87">
        <v>0</v>
      </c>
      <c r="V87">
        <v>23</v>
      </c>
      <c r="W87">
        <v>772.8</v>
      </c>
      <c r="X87">
        <v>701.8</v>
      </c>
      <c r="Y87">
        <v>0</v>
      </c>
      <c r="Z87">
        <v>0</v>
      </c>
      <c r="AA87">
        <v>701.8</v>
      </c>
      <c r="AB87" s="1">
        <v>496.8</v>
      </c>
      <c r="AC87" s="2">
        <v>0</v>
      </c>
      <c r="AD87" s="3">
        <v>0</v>
      </c>
      <c r="AF87">
        <v>496.8</v>
      </c>
      <c r="AH87" s="4">
        <v>-205</v>
      </c>
    </row>
    <row r="88" spans="1:34">
      <c r="A88">
        <v>75</v>
      </c>
      <c r="B88" t="s">
        <v>52</v>
      </c>
      <c r="C88" t="s">
        <v>68</v>
      </c>
      <c r="D88" t="s">
        <v>69</v>
      </c>
      <c r="E88" s="14" t="s">
        <v>230</v>
      </c>
      <c r="F88" t="s">
        <v>231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1">
        <v>0</v>
      </c>
      <c r="AC88" s="2">
        <v>0</v>
      </c>
      <c r="AD88" s="3">
        <v>0</v>
      </c>
      <c r="AF88">
        <v>0</v>
      </c>
      <c r="AH88" s="4">
        <v>0</v>
      </c>
    </row>
    <row r="89" spans="1:34">
      <c r="A89">
        <v>76</v>
      </c>
      <c r="B89" t="s">
        <v>98</v>
      </c>
      <c r="C89" t="s">
        <v>99</v>
      </c>
      <c r="D89" t="s">
        <v>100</v>
      </c>
      <c r="E89" s="14" t="s">
        <v>232</v>
      </c>
      <c r="F89" t="s">
        <v>233</v>
      </c>
      <c r="G89">
        <v>386500</v>
      </c>
      <c r="H89">
        <v>61</v>
      </c>
      <c r="I89">
        <v>0</v>
      </c>
      <c r="J89">
        <v>0</v>
      </c>
      <c r="K89">
        <v>61</v>
      </c>
      <c r="L89">
        <v>335500</v>
      </c>
      <c r="M89">
        <v>249800</v>
      </c>
      <c r="N89">
        <v>472200</v>
      </c>
      <c r="P89">
        <v>50</v>
      </c>
      <c r="Q89">
        <v>1680</v>
      </c>
      <c r="R89">
        <v>0</v>
      </c>
      <c r="S89">
        <v>0</v>
      </c>
      <c r="T89">
        <v>0</v>
      </c>
      <c r="U89">
        <v>0</v>
      </c>
      <c r="V89">
        <v>50</v>
      </c>
      <c r="W89">
        <v>1680</v>
      </c>
      <c r="X89">
        <v>1476.2</v>
      </c>
      <c r="Y89">
        <v>0</v>
      </c>
      <c r="Z89">
        <v>0</v>
      </c>
      <c r="AA89">
        <v>1476.2</v>
      </c>
      <c r="AB89" s="1">
        <v>1080</v>
      </c>
      <c r="AC89" s="2">
        <v>0</v>
      </c>
      <c r="AD89" s="3">
        <v>0</v>
      </c>
      <c r="AF89">
        <v>1080</v>
      </c>
      <c r="AH89" s="4">
        <v>-396.2</v>
      </c>
    </row>
    <row r="90" spans="1:34">
      <c r="A90">
        <v>77</v>
      </c>
      <c r="B90" t="s">
        <v>98</v>
      </c>
      <c r="C90" t="s">
        <v>106</v>
      </c>
      <c r="D90" t="s">
        <v>112</v>
      </c>
      <c r="E90" s="14" t="s">
        <v>234</v>
      </c>
      <c r="F90" t="s">
        <v>235</v>
      </c>
      <c r="G90">
        <v>29000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29000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1">
        <v>0</v>
      </c>
      <c r="AC90" s="2">
        <v>0</v>
      </c>
      <c r="AD90" s="3">
        <v>0</v>
      </c>
      <c r="AF90">
        <v>0</v>
      </c>
      <c r="AH90" s="4">
        <v>0</v>
      </c>
    </row>
    <row r="91" spans="1:34">
      <c r="A91">
        <v>78</v>
      </c>
      <c r="B91" t="s">
        <v>98</v>
      </c>
      <c r="C91" t="s">
        <v>106</v>
      </c>
      <c r="D91" t="s">
        <v>112</v>
      </c>
      <c r="E91" s="14" t="s">
        <v>236</v>
      </c>
      <c r="F91" t="s">
        <v>237</v>
      </c>
      <c r="G91">
        <v>-2000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-2000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">
        <v>0</v>
      </c>
      <c r="AC91" s="2">
        <v>0</v>
      </c>
      <c r="AD91" s="3">
        <v>0</v>
      </c>
      <c r="AF91">
        <v>0</v>
      </c>
      <c r="AH91" s="4">
        <v>0</v>
      </c>
    </row>
    <row r="92" spans="1:34">
      <c r="A92">
        <v>79</v>
      </c>
      <c r="B92" t="s">
        <v>52</v>
      </c>
      <c r="C92" t="s">
        <v>53</v>
      </c>
      <c r="D92" t="s">
        <v>59</v>
      </c>
      <c r="E92" s="14" t="s">
        <v>238</v>
      </c>
      <c r="F92" t="s">
        <v>239</v>
      </c>
      <c r="G92">
        <v>149900</v>
      </c>
      <c r="H92">
        <v>47</v>
      </c>
      <c r="I92">
        <v>0</v>
      </c>
      <c r="J92">
        <v>0</v>
      </c>
      <c r="K92">
        <v>47</v>
      </c>
      <c r="L92">
        <v>258500</v>
      </c>
      <c r="M92">
        <v>250000</v>
      </c>
      <c r="N92">
        <v>158400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1137.4</v>
      </c>
      <c r="Y92">
        <v>0</v>
      </c>
      <c r="Z92">
        <v>0</v>
      </c>
      <c r="AA92">
        <v>1137.4</v>
      </c>
      <c r="AB92" s="1">
        <v>0</v>
      </c>
      <c r="AC92" s="2">
        <v>0</v>
      </c>
      <c r="AD92" s="3">
        <v>0</v>
      </c>
      <c r="AF92">
        <v>0</v>
      </c>
      <c r="AH92" s="4">
        <v>-1137.4</v>
      </c>
    </row>
    <row r="93" spans="1:34">
      <c r="A93">
        <v>80</v>
      </c>
      <c r="B93" t="s">
        <v>52</v>
      </c>
      <c r="C93" t="s">
        <v>91</v>
      </c>
      <c r="D93" t="s">
        <v>92</v>
      </c>
      <c r="E93" s="14" t="s">
        <v>240</v>
      </c>
      <c r="F93" t="s">
        <v>241</v>
      </c>
      <c r="G93">
        <v>1162650</v>
      </c>
      <c r="H93">
        <v>41</v>
      </c>
      <c r="I93">
        <v>320</v>
      </c>
      <c r="J93">
        <v>0</v>
      </c>
      <c r="K93">
        <v>361</v>
      </c>
      <c r="L93">
        <v>1665500</v>
      </c>
      <c r="M93">
        <v>544400</v>
      </c>
      <c r="N93">
        <v>2283750</v>
      </c>
      <c r="P93">
        <v>10</v>
      </c>
      <c r="Q93">
        <v>336</v>
      </c>
      <c r="R93">
        <v>0</v>
      </c>
      <c r="S93">
        <v>0</v>
      </c>
      <c r="T93">
        <v>11</v>
      </c>
      <c r="U93">
        <v>283.5</v>
      </c>
      <c r="V93">
        <v>21</v>
      </c>
      <c r="W93">
        <v>619.5</v>
      </c>
      <c r="X93">
        <v>992.2</v>
      </c>
      <c r="Y93">
        <v>6144</v>
      </c>
      <c r="Z93">
        <v>0</v>
      </c>
      <c r="AA93">
        <v>7136.2</v>
      </c>
      <c r="AB93" s="1">
        <v>216</v>
      </c>
      <c r="AC93" s="2">
        <v>0</v>
      </c>
      <c r="AD93" s="3">
        <v>665.5</v>
      </c>
      <c r="AF93">
        <v>881.5</v>
      </c>
      <c r="AH93" s="4">
        <v>-6254.7</v>
      </c>
    </row>
    <row r="94" spans="1:34">
      <c r="A94">
        <v>81</v>
      </c>
      <c r="B94" t="s">
        <v>52</v>
      </c>
      <c r="C94" t="s">
        <v>53</v>
      </c>
      <c r="D94" t="s">
        <v>54</v>
      </c>
      <c r="E94" s="14" t="s">
        <v>242</v>
      </c>
      <c r="F94" t="s">
        <v>243</v>
      </c>
      <c r="G94">
        <v>3644674</v>
      </c>
      <c r="H94">
        <v>120</v>
      </c>
      <c r="I94">
        <v>96</v>
      </c>
      <c r="J94">
        <v>0</v>
      </c>
      <c r="K94">
        <v>216</v>
      </c>
      <c r="L94">
        <v>1092000</v>
      </c>
      <c r="M94">
        <v>1399622</v>
      </c>
      <c r="N94">
        <v>3337052</v>
      </c>
      <c r="P94">
        <v>159</v>
      </c>
      <c r="Q94">
        <v>5342.4</v>
      </c>
      <c r="R94">
        <v>155</v>
      </c>
      <c r="S94">
        <v>4426.6</v>
      </c>
      <c r="T94">
        <v>31</v>
      </c>
      <c r="U94">
        <v>1032</v>
      </c>
      <c r="V94">
        <v>345</v>
      </c>
      <c r="W94">
        <v>10801</v>
      </c>
      <c r="X94">
        <v>2904</v>
      </c>
      <c r="Y94">
        <v>1843.2</v>
      </c>
      <c r="Z94">
        <v>0</v>
      </c>
      <c r="AA94">
        <v>4747.2</v>
      </c>
      <c r="AB94" s="1">
        <v>3434.4</v>
      </c>
      <c r="AC94" s="2">
        <v>9455</v>
      </c>
      <c r="AD94" s="3">
        <v>1875.5</v>
      </c>
      <c r="AF94">
        <v>14764.9</v>
      </c>
      <c r="AH94" s="4">
        <v>10017.7</v>
      </c>
    </row>
    <row r="95" spans="1:34">
      <c r="A95">
        <v>82</v>
      </c>
      <c r="B95" t="s">
        <v>98</v>
      </c>
      <c r="C95" t="s">
        <v>180</v>
      </c>
      <c r="D95" t="s">
        <v>181</v>
      </c>
      <c r="E95" s="14" t="s">
        <v>244</v>
      </c>
      <c r="F95" t="s">
        <v>245</v>
      </c>
      <c r="G95">
        <v>259472</v>
      </c>
      <c r="H95">
        <v>0</v>
      </c>
      <c r="I95">
        <v>11</v>
      </c>
      <c r="J95">
        <v>0</v>
      </c>
      <c r="K95">
        <v>11</v>
      </c>
      <c r="L95">
        <v>49500</v>
      </c>
      <c r="M95">
        <v>0</v>
      </c>
      <c r="N95">
        <v>308972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211.2</v>
      </c>
      <c r="Z95">
        <v>0</v>
      </c>
      <c r="AA95">
        <v>211.2</v>
      </c>
      <c r="AB95" s="1">
        <v>0</v>
      </c>
      <c r="AC95" s="2">
        <v>0</v>
      </c>
      <c r="AD95" s="3">
        <v>0</v>
      </c>
      <c r="AF95">
        <v>0</v>
      </c>
      <c r="AH95" s="4">
        <v>-211.2</v>
      </c>
    </row>
    <row r="96" spans="1:34">
      <c r="A96">
        <v>83</v>
      </c>
      <c r="B96" t="s">
        <v>52</v>
      </c>
      <c r="C96" t="s">
        <v>53</v>
      </c>
      <c r="D96" t="s">
        <v>59</v>
      </c>
      <c r="E96" s="14" t="s">
        <v>246</v>
      </c>
      <c r="F96" t="s">
        <v>247</v>
      </c>
      <c r="G96">
        <v>484700</v>
      </c>
      <c r="H96">
        <v>127</v>
      </c>
      <c r="I96">
        <v>16</v>
      </c>
      <c r="J96">
        <v>0</v>
      </c>
      <c r="K96">
        <v>143</v>
      </c>
      <c r="L96">
        <v>775500</v>
      </c>
      <c r="M96">
        <v>999900</v>
      </c>
      <c r="N96">
        <v>260300</v>
      </c>
      <c r="P96">
        <v>125</v>
      </c>
      <c r="Q96">
        <v>4200</v>
      </c>
      <c r="R96">
        <v>0</v>
      </c>
      <c r="S96">
        <v>0</v>
      </c>
      <c r="T96">
        <v>10</v>
      </c>
      <c r="U96">
        <v>249.8</v>
      </c>
      <c r="V96">
        <v>135</v>
      </c>
      <c r="W96">
        <v>4449.8</v>
      </c>
      <c r="X96">
        <v>3073.4</v>
      </c>
      <c r="Y96">
        <v>307.2</v>
      </c>
      <c r="Z96">
        <v>0</v>
      </c>
      <c r="AA96">
        <v>3380.6</v>
      </c>
      <c r="AB96" s="1">
        <v>2700</v>
      </c>
      <c r="AC96" s="2">
        <v>0</v>
      </c>
      <c r="AD96" s="3">
        <v>605</v>
      </c>
      <c r="AF96">
        <v>3305</v>
      </c>
      <c r="AH96" s="4">
        <v>-75.6</v>
      </c>
    </row>
    <row r="97" spans="1:34">
      <c r="A97">
        <v>84</v>
      </c>
      <c r="B97" t="s">
        <v>52</v>
      </c>
      <c r="C97" t="s">
        <v>53</v>
      </c>
      <c r="D97" t="s">
        <v>54</v>
      </c>
      <c r="E97" s="14" t="s">
        <v>248</v>
      </c>
      <c r="F97" t="s">
        <v>249</v>
      </c>
      <c r="G97">
        <v>298500</v>
      </c>
      <c r="H97">
        <v>65</v>
      </c>
      <c r="I97">
        <v>0</v>
      </c>
      <c r="J97">
        <v>0</v>
      </c>
      <c r="K97">
        <v>65</v>
      </c>
      <c r="L97">
        <v>357500</v>
      </c>
      <c r="M97">
        <v>743280</v>
      </c>
      <c r="N97">
        <v>-87280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1573</v>
      </c>
      <c r="Y97">
        <v>0</v>
      </c>
      <c r="Z97">
        <v>0</v>
      </c>
      <c r="AA97">
        <v>1573</v>
      </c>
      <c r="AB97" s="1">
        <v>0</v>
      </c>
      <c r="AC97" s="2">
        <v>0</v>
      </c>
      <c r="AD97" s="3">
        <v>0</v>
      </c>
      <c r="AF97">
        <v>0</v>
      </c>
      <c r="AH97" s="4">
        <v>-1573</v>
      </c>
    </row>
    <row r="98" spans="1:34">
      <c r="A98">
        <v>85</v>
      </c>
      <c r="B98" t="s">
        <v>52</v>
      </c>
      <c r="C98" t="s">
        <v>53</v>
      </c>
      <c r="D98" t="s">
        <v>54</v>
      </c>
      <c r="E98" s="14" t="s">
        <v>250</v>
      </c>
      <c r="F98" t="s">
        <v>251</v>
      </c>
      <c r="G98">
        <v>2715359</v>
      </c>
      <c r="H98">
        <v>155</v>
      </c>
      <c r="I98">
        <v>96</v>
      </c>
      <c r="J98">
        <v>0</v>
      </c>
      <c r="K98">
        <v>251</v>
      </c>
      <c r="L98">
        <v>1286500</v>
      </c>
      <c r="M98">
        <v>1110000</v>
      </c>
      <c r="N98">
        <v>2891859</v>
      </c>
      <c r="P98">
        <v>120</v>
      </c>
      <c r="Q98">
        <v>4032</v>
      </c>
      <c r="R98">
        <v>63</v>
      </c>
      <c r="S98">
        <v>1788.6</v>
      </c>
      <c r="T98">
        <v>208</v>
      </c>
      <c r="U98">
        <v>5906.4</v>
      </c>
      <c r="V98">
        <v>391</v>
      </c>
      <c r="W98">
        <v>11727</v>
      </c>
      <c r="X98">
        <v>3751</v>
      </c>
      <c r="Y98">
        <v>1843.2</v>
      </c>
      <c r="Z98">
        <v>0</v>
      </c>
      <c r="AA98">
        <v>5594.2</v>
      </c>
      <c r="AB98" s="1">
        <v>2592</v>
      </c>
      <c r="AC98" s="2">
        <v>3843</v>
      </c>
      <c r="AD98" s="3">
        <v>12584</v>
      </c>
      <c r="AF98">
        <v>19019</v>
      </c>
      <c r="AH98" s="4">
        <v>13424.8</v>
      </c>
    </row>
    <row r="99" spans="1:34">
      <c r="A99">
        <v>86</v>
      </c>
      <c r="B99" t="s">
        <v>98</v>
      </c>
      <c r="C99" t="s">
        <v>106</v>
      </c>
      <c r="D99" t="s">
        <v>112</v>
      </c>
      <c r="E99" s="14" t="s">
        <v>252</v>
      </c>
      <c r="F99" t="s">
        <v>253</v>
      </c>
      <c r="G99">
        <v>172500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172500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1">
        <v>0</v>
      </c>
      <c r="AC99" s="2">
        <v>0</v>
      </c>
      <c r="AD99" s="3">
        <v>0</v>
      </c>
      <c r="AF99">
        <v>0</v>
      </c>
      <c r="AH99" s="4">
        <v>0</v>
      </c>
    </row>
    <row r="100" spans="1:34">
      <c r="A100">
        <v>87</v>
      </c>
      <c r="B100" t="s">
        <v>98</v>
      </c>
      <c r="C100" t="s">
        <v>106</v>
      </c>
      <c r="D100" t="s">
        <v>112</v>
      </c>
      <c r="E100" s="14" t="s">
        <v>254</v>
      </c>
      <c r="F100" t="s">
        <v>255</v>
      </c>
      <c r="G100">
        <v>115500</v>
      </c>
      <c r="H100">
        <v>15</v>
      </c>
      <c r="I100">
        <v>0</v>
      </c>
      <c r="J100">
        <v>0</v>
      </c>
      <c r="K100">
        <v>15</v>
      </c>
      <c r="L100">
        <v>82500</v>
      </c>
      <c r="M100">
        <v>104000</v>
      </c>
      <c r="N100">
        <v>94000</v>
      </c>
      <c r="P100">
        <v>10</v>
      </c>
      <c r="Q100">
        <v>336</v>
      </c>
      <c r="R100">
        <v>0</v>
      </c>
      <c r="S100">
        <v>0</v>
      </c>
      <c r="T100">
        <v>0</v>
      </c>
      <c r="U100">
        <v>0</v>
      </c>
      <c r="V100">
        <v>10</v>
      </c>
      <c r="W100">
        <v>336</v>
      </c>
      <c r="X100">
        <v>363</v>
      </c>
      <c r="Y100">
        <v>0</v>
      </c>
      <c r="Z100">
        <v>0</v>
      </c>
      <c r="AA100">
        <v>363</v>
      </c>
      <c r="AB100" s="1">
        <v>216</v>
      </c>
      <c r="AC100" s="2">
        <v>0</v>
      </c>
      <c r="AD100" s="3">
        <v>0</v>
      </c>
      <c r="AF100">
        <v>216</v>
      </c>
      <c r="AH100" s="4">
        <v>-147</v>
      </c>
    </row>
    <row r="101" spans="1:34">
      <c r="A101">
        <v>88</v>
      </c>
      <c r="B101" t="s">
        <v>98</v>
      </c>
      <c r="C101" t="s">
        <v>180</v>
      </c>
      <c r="D101" t="s">
        <v>181</v>
      </c>
      <c r="E101" s="14" t="s">
        <v>256</v>
      </c>
      <c r="F101" t="s">
        <v>257</v>
      </c>
      <c r="G101">
        <v>1030669</v>
      </c>
      <c r="H101">
        <v>15</v>
      </c>
      <c r="I101">
        <v>148</v>
      </c>
      <c r="J101">
        <v>0</v>
      </c>
      <c r="K101">
        <v>163</v>
      </c>
      <c r="L101">
        <v>748500</v>
      </c>
      <c r="M101">
        <v>210400</v>
      </c>
      <c r="N101">
        <v>1568769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363</v>
      </c>
      <c r="Y101">
        <v>2841.6</v>
      </c>
      <c r="Z101">
        <v>0</v>
      </c>
      <c r="AA101">
        <v>3204.6</v>
      </c>
      <c r="AB101" s="1">
        <v>0</v>
      </c>
      <c r="AC101" s="2">
        <v>0</v>
      </c>
      <c r="AD101" s="3">
        <v>0</v>
      </c>
      <c r="AF101">
        <v>0</v>
      </c>
      <c r="AH101" s="4">
        <v>-3204.6</v>
      </c>
    </row>
    <row r="102" spans="1:34">
      <c r="A102">
        <v>89</v>
      </c>
      <c r="B102" t="s">
        <v>98</v>
      </c>
      <c r="C102" t="s">
        <v>180</v>
      </c>
      <c r="D102" t="s">
        <v>181</v>
      </c>
      <c r="E102" s="14" t="s">
        <v>258</v>
      </c>
      <c r="F102" t="s">
        <v>259</v>
      </c>
      <c r="G102">
        <v>709320</v>
      </c>
      <c r="H102">
        <v>100</v>
      </c>
      <c r="I102">
        <v>0</v>
      </c>
      <c r="J102">
        <v>0</v>
      </c>
      <c r="K102">
        <v>100</v>
      </c>
      <c r="L102">
        <v>550000</v>
      </c>
      <c r="M102">
        <v>200000</v>
      </c>
      <c r="N102">
        <v>1059320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2420</v>
      </c>
      <c r="Y102">
        <v>0</v>
      </c>
      <c r="Z102">
        <v>0</v>
      </c>
      <c r="AA102">
        <v>2420</v>
      </c>
      <c r="AB102" s="1">
        <v>0</v>
      </c>
      <c r="AC102" s="2">
        <v>0</v>
      </c>
      <c r="AD102" s="3">
        <v>0</v>
      </c>
      <c r="AF102">
        <v>0</v>
      </c>
      <c r="AH102" s="4">
        <v>-2420</v>
      </c>
    </row>
    <row r="103" spans="1:34">
      <c r="A103">
        <v>90</v>
      </c>
      <c r="B103" t="s">
        <v>98</v>
      </c>
      <c r="C103" t="s">
        <v>180</v>
      </c>
      <c r="D103" t="s">
        <v>184</v>
      </c>
      <c r="E103" s="14" t="s">
        <v>260</v>
      </c>
      <c r="F103" t="s">
        <v>261</v>
      </c>
      <c r="G103">
        <v>30000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30000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">
        <v>0</v>
      </c>
      <c r="AC103" s="2">
        <v>0</v>
      </c>
      <c r="AD103" s="3">
        <v>0</v>
      </c>
      <c r="AF103">
        <v>0</v>
      </c>
      <c r="AH103" s="4">
        <v>0</v>
      </c>
    </row>
    <row r="104" spans="1:34">
      <c r="A104">
        <v>91</v>
      </c>
      <c r="B104" t="s">
        <v>52</v>
      </c>
      <c r="C104" t="s">
        <v>74</v>
      </c>
      <c r="D104" t="s">
        <v>82</v>
      </c>
      <c r="E104" s="14" t="s">
        <v>262</v>
      </c>
      <c r="F104" t="s">
        <v>263</v>
      </c>
      <c r="G104">
        <v>272656</v>
      </c>
      <c r="H104">
        <v>20</v>
      </c>
      <c r="I104">
        <v>68</v>
      </c>
      <c r="J104">
        <v>0</v>
      </c>
      <c r="K104">
        <v>88</v>
      </c>
      <c r="L104">
        <v>416000</v>
      </c>
      <c r="M104">
        <v>0</v>
      </c>
      <c r="N104">
        <v>688656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484</v>
      </c>
      <c r="Y104">
        <v>1305.6</v>
      </c>
      <c r="Z104">
        <v>0</v>
      </c>
      <c r="AA104">
        <v>1789.6</v>
      </c>
      <c r="AB104" s="1">
        <v>0</v>
      </c>
      <c r="AC104" s="2">
        <v>0</v>
      </c>
      <c r="AD104" s="3">
        <v>0</v>
      </c>
      <c r="AF104">
        <v>0</v>
      </c>
      <c r="AH104" s="4">
        <v>-1789.6</v>
      </c>
    </row>
    <row r="105" spans="1:34">
      <c r="A105">
        <v>92</v>
      </c>
      <c r="B105" t="s">
        <v>98</v>
      </c>
      <c r="C105" t="s">
        <v>106</v>
      </c>
      <c r="D105" t="s">
        <v>112</v>
      </c>
      <c r="E105" s="14" t="s">
        <v>264</v>
      </c>
      <c r="F105" t="s">
        <v>265</v>
      </c>
      <c r="G105">
        <v>115499</v>
      </c>
      <c r="H105">
        <v>148</v>
      </c>
      <c r="I105">
        <v>0</v>
      </c>
      <c r="J105">
        <v>0</v>
      </c>
      <c r="K105">
        <v>148</v>
      </c>
      <c r="L105">
        <v>814000</v>
      </c>
      <c r="M105">
        <v>499700</v>
      </c>
      <c r="N105">
        <v>429799</v>
      </c>
      <c r="P105">
        <v>143</v>
      </c>
      <c r="Q105">
        <v>4804.8</v>
      </c>
      <c r="R105">
        <v>0</v>
      </c>
      <c r="S105">
        <v>0</v>
      </c>
      <c r="T105">
        <v>0</v>
      </c>
      <c r="U105">
        <v>0</v>
      </c>
      <c r="V105">
        <v>143</v>
      </c>
      <c r="W105">
        <v>4804.8</v>
      </c>
      <c r="X105">
        <v>3581.6</v>
      </c>
      <c r="Y105">
        <v>0</v>
      </c>
      <c r="Z105">
        <v>0</v>
      </c>
      <c r="AA105">
        <v>3581.6</v>
      </c>
      <c r="AB105" s="1">
        <v>3088.8</v>
      </c>
      <c r="AC105" s="2">
        <v>0</v>
      </c>
      <c r="AD105" s="3">
        <v>0</v>
      </c>
      <c r="AF105">
        <v>3088.8</v>
      </c>
      <c r="AH105" s="4">
        <v>-492.8</v>
      </c>
    </row>
    <row r="106" spans="1:34">
      <c r="A106">
        <v>93</v>
      </c>
      <c r="B106" t="s">
        <v>98</v>
      </c>
      <c r="C106" t="s">
        <v>106</v>
      </c>
      <c r="D106" t="s">
        <v>112</v>
      </c>
      <c r="E106" s="14" t="s">
        <v>266</v>
      </c>
      <c r="F106" t="s">
        <v>267</v>
      </c>
      <c r="G106">
        <v>13800</v>
      </c>
      <c r="H106">
        <v>6</v>
      </c>
      <c r="I106">
        <v>0</v>
      </c>
      <c r="J106">
        <v>0</v>
      </c>
      <c r="K106">
        <v>6</v>
      </c>
      <c r="L106">
        <v>33000</v>
      </c>
      <c r="M106">
        <v>0</v>
      </c>
      <c r="N106">
        <v>46800</v>
      </c>
      <c r="P106">
        <v>12</v>
      </c>
      <c r="Q106">
        <v>403.2</v>
      </c>
      <c r="R106">
        <v>0</v>
      </c>
      <c r="S106">
        <v>0</v>
      </c>
      <c r="T106">
        <v>0</v>
      </c>
      <c r="U106">
        <v>0</v>
      </c>
      <c r="V106">
        <v>12</v>
      </c>
      <c r="W106">
        <v>403.2</v>
      </c>
      <c r="X106">
        <v>145.2</v>
      </c>
      <c r="Y106">
        <v>0</v>
      </c>
      <c r="Z106">
        <v>0</v>
      </c>
      <c r="AA106">
        <v>145.2</v>
      </c>
      <c r="AB106" s="1">
        <v>259.2</v>
      </c>
      <c r="AC106" s="2">
        <v>0</v>
      </c>
      <c r="AD106" s="3">
        <v>0</v>
      </c>
      <c r="AF106">
        <v>259.2</v>
      </c>
      <c r="AH106" s="4">
        <v>114</v>
      </c>
    </row>
    <row r="107" spans="1:34">
      <c r="A107">
        <v>94</v>
      </c>
      <c r="B107" t="s">
        <v>98</v>
      </c>
      <c r="C107" t="s">
        <v>180</v>
      </c>
      <c r="D107" t="s">
        <v>184</v>
      </c>
      <c r="E107" s="14" t="s">
        <v>268</v>
      </c>
      <c r="F107" t="s">
        <v>269</v>
      </c>
      <c r="G107">
        <v>199000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199000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s="1">
        <v>0</v>
      </c>
      <c r="AC107" s="2">
        <v>0</v>
      </c>
      <c r="AD107" s="3">
        <v>0</v>
      </c>
      <c r="AF107">
        <v>0</v>
      </c>
      <c r="AH107" s="4">
        <v>0</v>
      </c>
    </row>
    <row r="108" spans="1:34">
      <c r="A108">
        <v>95</v>
      </c>
      <c r="B108" t="s">
        <v>98</v>
      </c>
      <c r="C108" t="s">
        <v>180</v>
      </c>
      <c r="D108" t="s">
        <v>184</v>
      </c>
      <c r="E108" s="14" t="s">
        <v>270</v>
      </c>
      <c r="F108" t="s">
        <v>271</v>
      </c>
      <c r="G108">
        <v>17000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17000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s="1">
        <v>0</v>
      </c>
      <c r="AC108" s="2">
        <v>0</v>
      </c>
      <c r="AD108" s="3">
        <v>0</v>
      </c>
      <c r="AF108">
        <v>0</v>
      </c>
      <c r="AH108" s="4">
        <v>0</v>
      </c>
    </row>
    <row r="109" spans="1:34">
      <c r="A109">
        <v>96</v>
      </c>
      <c r="B109" t="s">
        <v>98</v>
      </c>
      <c r="C109" t="s">
        <v>156</v>
      </c>
      <c r="D109" t="s">
        <v>157</v>
      </c>
      <c r="E109" s="14" t="s">
        <v>272</v>
      </c>
      <c r="F109" t="s">
        <v>273</v>
      </c>
      <c r="G109">
        <v>38100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38100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s="1">
        <v>0</v>
      </c>
      <c r="AC109" s="2">
        <v>0</v>
      </c>
      <c r="AD109" s="3">
        <v>0</v>
      </c>
      <c r="AF109">
        <v>0</v>
      </c>
      <c r="AH109" s="4">
        <v>0</v>
      </c>
    </row>
    <row r="110" spans="1:34">
      <c r="A110">
        <v>97</v>
      </c>
      <c r="B110" t="s">
        <v>98</v>
      </c>
      <c r="C110" t="s">
        <v>106</v>
      </c>
      <c r="D110" t="s">
        <v>112</v>
      </c>
      <c r="E110" s="14" t="s">
        <v>274</v>
      </c>
      <c r="F110" t="s">
        <v>275</v>
      </c>
      <c r="G110">
        <v>2916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2916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s="1">
        <v>0</v>
      </c>
      <c r="AC110" s="2">
        <v>0</v>
      </c>
      <c r="AD110" s="3">
        <v>0</v>
      </c>
      <c r="AF110">
        <v>0</v>
      </c>
      <c r="AH110" s="4">
        <v>0</v>
      </c>
    </row>
    <row r="111" spans="1:34">
      <c r="A111">
        <v>98</v>
      </c>
      <c r="B111" t="s">
        <v>98</v>
      </c>
      <c r="C111" t="s">
        <v>106</v>
      </c>
      <c r="D111" t="s">
        <v>112</v>
      </c>
      <c r="E111" s="14" t="s">
        <v>276</v>
      </c>
      <c r="F111" t="s">
        <v>277</v>
      </c>
      <c r="G111">
        <v>1000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s="1">
        <v>0</v>
      </c>
      <c r="AC111" s="2">
        <v>0</v>
      </c>
      <c r="AD111" s="3">
        <v>0</v>
      </c>
      <c r="AF111">
        <v>0</v>
      </c>
      <c r="AH111" s="4">
        <v>0</v>
      </c>
    </row>
    <row r="112" spans="1:34">
      <c r="A112">
        <v>99</v>
      </c>
      <c r="B112" t="s">
        <v>52</v>
      </c>
      <c r="C112" t="s">
        <v>53</v>
      </c>
      <c r="D112" t="s">
        <v>59</v>
      </c>
      <c r="E112" s="14" t="s">
        <v>278</v>
      </c>
      <c r="F112" t="s">
        <v>279</v>
      </c>
      <c r="G112">
        <v>41980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742440</v>
      </c>
      <c r="N112">
        <v>-700460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s="1">
        <v>0</v>
      </c>
      <c r="AC112" s="2">
        <v>0</v>
      </c>
      <c r="AD112" s="3">
        <v>0</v>
      </c>
      <c r="AF112">
        <v>0</v>
      </c>
      <c r="AH112" s="4">
        <v>0</v>
      </c>
    </row>
    <row r="113" spans="1:34">
      <c r="A113">
        <v>100</v>
      </c>
      <c r="B113" t="s">
        <v>98</v>
      </c>
      <c r="C113" t="s">
        <v>99</v>
      </c>
      <c r="D113" t="s">
        <v>103</v>
      </c>
      <c r="E113" s="14" t="s">
        <v>280</v>
      </c>
      <c r="F113" t="s">
        <v>281</v>
      </c>
      <c r="G113">
        <v>15000</v>
      </c>
      <c r="H113">
        <v>34</v>
      </c>
      <c r="I113">
        <v>0</v>
      </c>
      <c r="J113">
        <v>0</v>
      </c>
      <c r="K113">
        <v>34</v>
      </c>
      <c r="L113">
        <v>187000</v>
      </c>
      <c r="M113">
        <v>244840</v>
      </c>
      <c r="N113">
        <v>-42840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822.8</v>
      </c>
      <c r="Y113">
        <v>0</v>
      </c>
      <c r="Z113">
        <v>0</v>
      </c>
      <c r="AA113">
        <v>822.8</v>
      </c>
      <c r="AB113" s="1">
        <v>0</v>
      </c>
      <c r="AC113" s="2">
        <v>0</v>
      </c>
      <c r="AD113" s="3">
        <v>0</v>
      </c>
      <c r="AF113">
        <v>0</v>
      </c>
      <c r="AH113" s="4">
        <v>-822.8</v>
      </c>
    </row>
    <row r="114" spans="1:34">
      <c r="A114">
        <v>101</v>
      </c>
      <c r="B114" t="s">
        <v>98</v>
      </c>
      <c r="C114" t="s">
        <v>180</v>
      </c>
      <c r="D114" t="s">
        <v>181</v>
      </c>
      <c r="E114" s="14" t="s">
        <v>282</v>
      </c>
      <c r="F114" t="s">
        <v>283</v>
      </c>
      <c r="G114">
        <v>30250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30250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s="1">
        <v>0</v>
      </c>
      <c r="AC114" s="2">
        <v>0</v>
      </c>
      <c r="AD114" s="3">
        <v>0</v>
      </c>
      <c r="AF114">
        <v>0</v>
      </c>
      <c r="AH114" s="4">
        <v>0</v>
      </c>
    </row>
    <row r="115" spans="1:34">
      <c r="A115">
        <v>102</v>
      </c>
      <c r="B115" t="s">
        <v>98</v>
      </c>
      <c r="C115" t="s">
        <v>180</v>
      </c>
      <c r="D115" t="s">
        <v>181</v>
      </c>
      <c r="E115" s="14" t="s">
        <v>284</v>
      </c>
      <c r="F115" t="s">
        <v>285</v>
      </c>
      <c r="G115">
        <v>293620</v>
      </c>
      <c r="H115">
        <v>260</v>
      </c>
      <c r="I115">
        <v>91</v>
      </c>
      <c r="J115">
        <v>0</v>
      </c>
      <c r="K115">
        <v>351</v>
      </c>
      <c r="L115">
        <v>1839500</v>
      </c>
      <c r="M115">
        <v>343355</v>
      </c>
      <c r="N115">
        <v>1789765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6292</v>
      </c>
      <c r="Y115">
        <v>1747.2</v>
      </c>
      <c r="Z115">
        <v>0</v>
      </c>
      <c r="AA115">
        <v>8039.2</v>
      </c>
      <c r="AB115" s="1">
        <v>0</v>
      </c>
      <c r="AC115" s="2">
        <v>0</v>
      </c>
      <c r="AD115" s="3">
        <v>0</v>
      </c>
      <c r="AF115">
        <v>0</v>
      </c>
      <c r="AH115" s="4">
        <v>-8039.2</v>
      </c>
    </row>
    <row r="116" spans="1:34">
      <c r="A116">
        <v>103</v>
      </c>
      <c r="B116" t="s">
        <v>52</v>
      </c>
      <c r="C116" t="s">
        <v>53</v>
      </c>
      <c r="D116" t="s">
        <v>54</v>
      </c>
      <c r="E116" s="14" t="s">
        <v>286</v>
      </c>
      <c r="F116" t="s">
        <v>287</v>
      </c>
      <c r="G116">
        <v>192900</v>
      </c>
      <c r="H116">
        <v>150</v>
      </c>
      <c r="I116">
        <v>56</v>
      </c>
      <c r="J116">
        <v>0</v>
      </c>
      <c r="K116">
        <v>206</v>
      </c>
      <c r="L116">
        <v>1079000</v>
      </c>
      <c r="M116">
        <v>1245000</v>
      </c>
      <c r="N116">
        <v>26900</v>
      </c>
      <c r="P116">
        <v>300</v>
      </c>
      <c r="Q116">
        <v>10080</v>
      </c>
      <c r="R116">
        <v>55</v>
      </c>
      <c r="S116">
        <v>1591.6</v>
      </c>
      <c r="T116">
        <v>89</v>
      </c>
      <c r="U116">
        <v>2549.8</v>
      </c>
      <c r="V116">
        <v>444</v>
      </c>
      <c r="W116">
        <v>14221.4</v>
      </c>
      <c r="X116">
        <v>3630</v>
      </c>
      <c r="Y116">
        <v>1075.2</v>
      </c>
      <c r="Z116">
        <v>0</v>
      </c>
      <c r="AA116">
        <v>4705.2</v>
      </c>
      <c r="AB116" s="1">
        <v>6480</v>
      </c>
      <c r="AC116" s="2">
        <v>3355</v>
      </c>
      <c r="AD116" s="3">
        <v>5384.5</v>
      </c>
      <c r="AF116">
        <v>15219.5</v>
      </c>
      <c r="AH116" s="4">
        <v>10514.3</v>
      </c>
    </row>
    <row r="117" spans="1:34">
      <c r="A117">
        <v>104</v>
      </c>
      <c r="B117" t="s">
        <v>52</v>
      </c>
      <c r="C117" t="s">
        <v>68</v>
      </c>
      <c r="D117" t="s">
        <v>69</v>
      </c>
      <c r="E117" s="14" t="s">
        <v>288</v>
      </c>
      <c r="F117" t="s">
        <v>289</v>
      </c>
      <c r="G117">
        <v>11605</v>
      </c>
      <c r="H117">
        <v>87</v>
      </c>
      <c r="I117">
        <v>0</v>
      </c>
      <c r="J117">
        <v>0</v>
      </c>
      <c r="K117">
        <v>87</v>
      </c>
      <c r="L117">
        <v>490500</v>
      </c>
      <c r="M117">
        <v>652800</v>
      </c>
      <c r="N117">
        <v>-150695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2105.4</v>
      </c>
      <c r="Y117">
        <v>0</v>
      </c>
      <c r="Z117">
        <v>0</v>
      </c>
      <c r="AA117">
        <v>2105.4</v>
      </c>
      <c r="AB117" s="1">
        <v>0</v>
      </c>
      <c r="AC117" s="2">
        <v>0</v>
      </c>
      <c r="AD117" s="3">
        <v>0</v>
      </c>
      <c r="AF117">
        <v>0</v>
      </c>
      <c r="AH117" s="4">
        <v>-2105.4</v>
      </c>
    </row>
    <row r="118" spans="1:34">
      <c r="A118">
        <v>105</v>
      </c>
      <c r="B118" t="s">
        <v>52</v>
      </c>
      <c r="C118" t="s">
        <v>53</v>
      </c>
      <c r="D118" t="s">
        <v>54</v>
      </c>
      <c r="E118" s="14" t="s">
        <v>290</v>
      </c>
      <c r="F118" t="s">
        <v>291</v>
      </c>
      <c r="G118">
        <v>361500</v>
      </c>
      <c r="H118">
        <v>50</v>
      </c>
      <c r="I118">
        <v>28</v>
      </c>
      <c r="J118">
        <v>0</v>
      </c>
      <c r="K118">
        <v>78</v>
      </c>
      <c r="L118">
        <v>401000</v>
      </c>
      <c r="M118">
        <v>442000</v>
      </c>
      <c r="N118">
        <v>320500</v>
      </c>
      <c r="P118">
        <v>67</v>
      </c>
      <c r="Q118">
        <v>2251.2</v>
      </c>
      <c r="R118">
        <v>0</v>
      </c>
      <c r="S118">
        <v>0</v>
      </c>
      <c r="T118">
        <v>34</v>
      </c>
      <c r="U118">
        <v>764</v>
      </c>
      <c r="V118">
        <v>101</v>
      </c>
      <c r="W118">
        <v>3015.2</v>
      </c>
      <c r="X118">
        <v>1210</v>
      </c>
      <c r="Y118">
        <v>537.6</v>
      </c>
      <c r="Z118">
        <v>0</v>
      </c>
      <c r="AA118">
        <v>1747.6</v>
      </c>
      <c r="AB118" s="1">
        <v>1447.2</v>
      </c>
      <c r="AC118" s="2">
        <v>0</v>
      </c>
      <c r="AD118" s="3">
        <v>2057</v>
      </c>
      <c r="AF118">
        <v>3504.2</v>
      </c>
      <c r="AH118" s="4">
        <v>1756.6</v>
      </c>
    </row>
    <row r="119" spans="1:34">
      <c r="A119">
        <v>106</v>
      </c>
      <c r="B119" t="s">
        <v>98</v>
      </c>
      <c r="C119" t="s">
        <v>156</v>
      </c>
      <c r="D119" t="s">
        <v>157</v>
      </c>
      <c r="E119" s="14" t="s">
        <v>292</v>
      </c>
      <c r="F119" t="s">
        <v>293</v>
      </c>
      <c r="G119">
        <v>47400</v>
      </c>
      <c r="H119">
        <v>40</v>
      </c>
      <c r="I119">
        <v>0</v>
      </c>
      <c r="J119">
        <v>0</v>
      </c>
      <c r="K119">
        <v>40</v>
      </c>
      <c r="L119">
        <v>220000</v>
      </c>
      <c r="M119">
        <v>260950</v>
      </c>
      <c r="N119">
        <v>6450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968</v>
      </c>
      <c r="Y119">
        <v>0</v>
      </c>
      <c r="Z119">
        <v>0</v>
      </c>
      <c r="AA119">
        <v>968</v>
      </c>
      <c r="AB119" s="1">
        <v>0</v>
      </c>
      <c r="AC119" s="2">
        <v>0</v>
      </c>
      <c r="AD119" s="3">
        <v>0</v>
      </c>
      <c r="AF119">
        <v>0</v>
      </c>
      <c r="AH119" s="4">
        <v>-968</v>
      </c>
    </row>
    <row r="120" spans="1:34">
      <c r="A120">
        <v>107</v>
      </c>
      <c r="B120" t="s">
        <v>98</v>
      </c>
      <c r="C120" t="s">
        <v>99</v>
      </c>
      <c r="D120" t="s">
        <v>100</v>
      </c>
      <c r="E120" s="14" t="s">
        <v>294</v>
      </c>
      <c r="F120" t="s">
        <v>295</v>
      </c>
      <c r="G120">
        <v>44300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76800</v>
      </c>
      <c r="N120">
        <v>-32500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s="1">
        <v>0</v>
      </c>
      <c r="AC120" s="2">
        <v>0</v>
      </c>
      <c r="AD120" s="3">
        <v>0</v>
      </c>
      <c r="AF120">
        <v>0</v>
      </c>
      <c r="AH120" s="4">
        <v>0</v>
      </c>
    </row>
    <row r="121" spans="1:34">
      <c r="A121">
        <v>108</v>
      </c>
      <c r="B121" t="s">
        <v>98</v>
      </c>
      <c r="C121" t="s">
        <v>106</v>
      </c>
      <c r="D121" t="s">
        <v>112</v>
      </c>
      <c r="E121" s="14" t="s">
        <v>296</v>
      </c>
      <c r="F121" t="s">
        <v>297</v>
      </c>
      <c r="G121">
        <v>3200</v>
      </c>
      <c r="H121">
        <v>21</v>
      </c>
      <c r="I121">
        <v>0</v>
      </c>
      <c r="J121">
        <v>0</v>
      </c>
      <c r="K121">
        <v>21</v>
      </c>
      <c r="L121">
        <v>115500</v>
      </c>
      <c r="M121">
        <v>86800</v>
      </c>
      <c r="N121">
        <v>31900</v>
      </c>
      <c r="P121">
        <v>14</v>
      </c>
      <c r="Q121">
        <v>470.4</v>
      </c>
      <c r="R121">
        <v>0</v>
      </c>
      <c r="S121">
        <v>0</v>
      </c>
      <c r="T121">
        <v>0</v>
      </c>
      <c r="U121">
        <v>0</v>
      </c>
      <c r="V121">
        <v>14</v>
      </c>
      <c r="W121">
        <v>470.4</v>
      </c>
      <c r="X121">
        <v>508.2</v>
      </c>
      <c r="Y121">
        <v>0</v>
      </c>
      <c r="Z121">
        <v>0</v>
      </c>
      <c r="AA121">
        <v>508.2</v>
      </c>
      <c r="AB121" s="1">
        <v>302.4</v>
      </c>
      <c r="AC121" s="2">
        <v>0</v>
      </c>
      <c r="AD121" s="3">
        <v>0</v>
      </c>
      <c r="AF121">
        <v>302.4</v>
      </c>
      <c r="AH121" s="4">
        <v>-205.8</v>
      </c>
    </row>
    <row r="122" spans="1:34">
      <c r="A122">
        <v>109</v>
      </c>
      <c r="B122" t="s">
        <v>98</v>
      </c>
      <c r="C122" t="s">
        <v>180</v>
      </c>
      <c r="D122" t="s">
        <v>181</v>
      </c>
      <c r="E122" s="14" t="s">
        <v>298</v>
      </c>
      <c r="F122" t="s">
        <v>299</v>
      </c>
      <c r="G122">
        <v>-48998</v>
      </c>
      <c r="H122">
        <v>275</v>
      </c>
      <c r="I122">
        <v>0</v>
      </c>
      <c r="J122">
        <v>0</v>
      </c>
      <c r="K122">
        <v>275</v>
      </c>
      <c r="L122">
        <v>1512500</v>
      </c>
      <c r="M122">
        <v>0</v>
      </c>
      <c r="N122">
        <v>1463502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6655</v>
      </c>
      <c r="Y122">
        <v>0</v>
      </c>
      <c r="Z122">
        <v>0</v>
      </c>
      <c r="AA122">
        <v>6655</v>
      </c>
      <c r="AB122" s="1">
        <v>0</v>
      </c>
      <c r="AC122" s="2">
        <v>0</v>
      </c>
      <c r="AD122" s="3">
        <v>0</v>
      </c>
      <c r="AF122">
        <v>0</v>
      </c>
      <c r="AH122" s="4">
        <v>-6655</v>
      </c>
    </row>
    <row r="123" spans="1:34">
      <c r="A123">
        <v>110</v>
      </c>
      <c r="B123" t="s">
        <v>98</v>
      </c>
      <c r="C123" t="s">
        <v>99</v>
      </c>
      <c r="D123" t="s">
        <v>103</v>
      </c>
      <c r="E123" s="14" t="s">
        <v>300</v>
      </c>
      <c r="F123" t="s">
        <v>301</v>
      </c>
      <c r="G123">
        <v>5600</v>
      </c>
      <c r="H123">
        <v>33</v>
      </c>
      <c r="I123">
        <v>0</v>
      </c>
      <c r="J123">
        <v>0</v>
      </c>
      <c r="K123">
        <v>33</v>
      </c>
      <c r="L123">
        <v>181500</v>
      </c>
      <c r="M123">
        <v>307200</v>
      </c>
      <c r="N123">
        <v>-120100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798.6</v>
      </c>
      <c r="Y123">
        <v>0</v>
      </c>
      <c r="Z123">
        <v>0</v>
      </c>
      <c r="AA123">
        <v>798.6</v>
      </c>
      <c r="AB123" s="1">
        <v>0</v>
      </c>
      <c r="AC123" s="2">
        <v>0</v>
      </c>
      <c r="AD123" s="3">
        <v>0</v>
      </c>
      <c r="AF123">
        <v>0</v>
      </c>
      <c r="AH123" s="4">
        <v>-798.6</v>
      </c>
    </row>
  </sheetData>
  <autoFilter ref="AJ22:AJ2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Conversion Date Range wise Summ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morshed.alam</cp:lastModifiedBy>
  <dcterms:created xsi:type="dcterms:W3CDTF">2026-01-26T11:13:00Z</dcterms:created>
  <dcterms:modified xsi:type="dcterms:W3CDTF">2026-01-28T12:01:50Z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94D231707BAA45F0B082FAA74C2F4DC0_13</vt:lpwstr>
  </property>
  <property fmtid="{D5CDD505-2E9C-101B-9397-08002B2CF9AE}" pid="3" name="KSOProductBuildVer">
    <vt:lpwstr>1033-12.2.0.13306</vt:lpwstr>
  </property>
</Properties>
</file>